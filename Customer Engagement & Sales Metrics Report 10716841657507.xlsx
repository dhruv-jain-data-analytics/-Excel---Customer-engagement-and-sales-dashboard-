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jdhru\OneDrive\Desktop\Excel Projects\Customer engagement and sales dashboard\"/>
    </mc:Choice>
  </mc:AlternateContent>
  <xr:revisionPtr revIDLastSave="0" documentId="13_ncr:1_{225838DA-9077-423C-9F01-5831F23B5C77}" xr6:coauthVersionLast="47" xr6:coauthVersionMax="47" xr10:uidLastSave="{00000000-0000-0000-0000-000000000000}"/>
  <bookViews>
    <workbookView showHorizontalScroll="0" showVerticalScroll="0" xWindow="-98" yWindow="-98" windowWidth="21795" windowHeight="12975" activeTab="4" xr2:uid="{34FAED60-B0AF-1044-A3F4-38D185ADB399}"/>
  </bookViews>
  <sheets>
    <sheet name="Datatable" sheetId="3" r:id="rId1"/>
    <sheet name="Pivot Tables" sheetId="4" r:id="rId2"/>
    <sheet name="Dashboard(1)" sheetId="5" r:id="rId3"/>
    <sheet name="Dashboard(2)" sheetId="6" r:id="rId4"/>
    <sheet name="Insight summary" sheetId="7" r:id="rId5"/>
  </sheets>
  <definedNames>
    <definedName name="_xlcn.WorksheetConnection_CustomerEngagementSalesMetricsReport10716841657507.xlsxTable1_11" hidden="1">Table1_1[]</definedName>
    <definedName name="ExternalData_1" localSheetId="0" hidden="1">Datatable!$A$1:$G$805</definedName>
    <definedName name="Slicer_Product">#N/A</definedName>
    <definedName name="Slicer_Salesperson_Id">#N/A</definedName>
    <definedName name="Slicer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Customer Engagement &amp; Sales Metrics Report 10716841657507.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8" i="4" l="1"/>
  <c r="K18" i="4"/>
  <c r="K22" i="4"/>
  <c r="H27" i="7"/>
  <c r="B27" i="7"/>
  <c r="H24" i="7"/>
  <c r="E23" i="7"/>
  <c r="B23" i="7"/>
  <c r="D18" i="7"/>
  <c r="B18" i="7"/>
  <c r="G27" i="7"/>
  <c r="H23" i="7"/>
  <c r="I27" i="7"/>
  <c r="B26" i="7"/>
  <c r="G1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6D4B9-711A-47B9-B9F8-E1CB4886271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7ECD453-472D-4926-98CA-2CAA53BFB3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E38CAB-2110-492A-AE93-EEDCEA387494}" name="WorksheetConnection_Customer Engagement &amp; Sales Metrics Report 10716841657507.xlsx!Table1_1" type="102" refreshedVersion="8" minRefreshableVersion="5">
    <extLst>
      <ext xmlns:x15="http://schemas.microsoft.com/office/spreadsheetml/2010/11/main" uri="{DE250136-89BD-433C-8126-D09CA5730AF9}">
        <x15:connection id="Table1_1" autoDelete="1">
          <x15:rangePr sourceName="_xlcn.WorksheetConnection_CustomerEngagementSalesMetricsReport10716841657507.xlsxTable1_11"/>
        </x15:connection>
      </ext>
    </extLst>
  </connection>
</connections>
</file>

<file path=xl/sharedStrings.xml><?xml version="1.0" encoding="utf-8"?>
<sst xmlns="http://schemas.openxmlformats.org/spreadsheetml/2006/main" count="2532" uniqueCount="267">
  <si>
    <t>Year</t>
  </si>
  <si>
    <t>Product</t>
  </si>
  <si>
    <t>Offers</t>
  </si>
  <si>
    <t>Orders</t>
  </si>
  <si>
    <t>Salesperson Id</t>
  </si>
  <si>
    <t>Customer Id</t>
  </si>
  <si>
    <t>Sales</t>
  </si>
  <si>
    <t>S1</t>
  </si>
  <si>
    <t>C1</t>
  </si>
  <si>
    <t>P1</t>
  </si>
  <si>
    <t>S2</t>
  </si>
  <si>
    <t>P2</t>
  </si>
  <si>
    <t>S3</t>
  </si>
  <si>
    <t>P3</t>
  </si>
  <si>
    <t>S4</t>
  </si>
  <si>
    <t>P4</t>
  </si>
  <si>
    <t>S5</t>
  </si>
  <si>
    <t>C2</t>
  </si>
  <si>
    <t>S6</t>
  </si>
  <si>
    <t>P6</t>
  </si>
  <si>
    <t>S7</t>
  </si>
  <si>
    <t>C3</t>
  </si>
  <si>
    <t>P9</t>
  </si>
  <si>
    <t>P11</t>
  </si>
  <si>
    <t>C4</t>
  </si>
  <si>
    <t>S16</t>
  </si>
  <si>
    <t>C5</t>
  </si>
  <si>
    <t>S18</t>
  </si>
  <si>
    <t>S19</t>
  </si>
  <si>
    <t>C6</t>
  </si>
  <si>
    <t>P24</t>
  </si>
  <si>
    <t>C7</t>
  </si>
  <si>
    <t>C8</t>
  </si>
  <si>
    <t>C9</t>
  </si>
  <si>
    <t>P34</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</si>
  <si>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</si>
  <si>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</si>
  <si>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</si>
  <si>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</si>
  <si>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</si>
  <si>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</si>
  <si>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</si>
  <si>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</si>
  <si>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</si>
  <si>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</si>
  <si>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</si>
  <si>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</si>
  <si>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</si>
  <si>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</si>
  <si>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</si>
  <si>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</si>
  <si>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</si>
  <si>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</si>
  <si>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</si>
  <si>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</si>
  <si>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</si>
  <si>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</si>
  <si>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</si>
  <si>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</si>
  <si>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</si>
  <si>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</si>
  <si>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</si>
  <si>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</si>
  <si>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</si>
  <si>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</si>
  <si>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</si>
  <si>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</si>
  <si>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</si>
  <si>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</si>
  <si>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</si>
  <si>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</si>
  <si>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</si>
  <si>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</si>
  <si>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</si>
  <si>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</si>
  <si>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</si>
  <si>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</si>
  <si>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</si>
  <si>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</si>
  <si>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</si>
  <si>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</si>
  <si>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</si>
  <si>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</si>
  <si>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</si>
  <si>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</si>
  <si>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</si>
  <si>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</si>
  <si>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</si>
  <si>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</si>
  <si>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</si>
  <si>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</si>
  <si>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</si>
  <si>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</si>
  <si>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</si>
  <si>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</si>
  <si>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</si>
  <si>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</si>
  <si>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</si>
  <si>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</si>
  <si>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</si>
  <si>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</si>
  <si>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</si>
  <si>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</si>
  <si>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</si>
  <si>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</si>
  <si>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</si>
  <si>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</si>
  <si>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</si>
  <si>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</si>
  <si>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</si>
  <si>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</si>
  <si>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</si>
  <si>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</si>
  <si>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</si>
  <si>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</si>
  <si>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</si>
  <si>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</si>
  <si>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</si>
  <si>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</si>
  <si>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</si>
  <si>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</si>
  <si>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</si>
  <si>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</si>
  <si>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</si>
  <si>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</si>
  <si>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</si>
  <si>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</si>
  <si>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</si>
  <si>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</si>
  <si>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</si>
  <si>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</si>
  <si>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</si>
  <si>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</si>
  <si>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</si>
  <si>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</si>
  <si>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</si>
  <si>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</si>
  <si>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</si>
  <si>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</si>
  <si>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</si>
  <si>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</si>
  <si>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</si>
  <si>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</si>
  <si>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</si>
  <si>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</si>
  <si>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</si>
  <si>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</si>
  <si>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</si>
  <si>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</si>
  <si>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</si>
  <si>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</si>
  <si>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</si>
  <si>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</si>
  <si>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</si>
  <si>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</si>
  <si>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</si>
  <si>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</si>
  <si>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</si>
  <si>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</si>
  <si>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</si>
  <si>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</si>
  <si>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</si>
  <si>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</si>
  <si>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</si>
  <si>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</si>
  <si>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</si>
  <si>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</si>
  <si>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</si>
  <si>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</si>
  <si>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</si>
  <si>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</si>
  <si>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</si>
  <si>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</si>
  <si>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</si>
  <si>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</si>
  <si>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</si>
  <si>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</si>
  <si>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</si>
  <si>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</si>
  <si>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</si>
  <si>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</si>
  <si>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</si>
  <si>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</si>
  <si>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</si>
  <si>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</si>
  <si>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</si>
  <si>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</si>
  <si>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</si>
  <si>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</si>
  <si>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</si>
  <si>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</si>
  <si>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</si>
  <si>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</si>
  <si>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</si>
  <si>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</si>
  <si>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</si>
  <si>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</si>
  <si>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</si>
  <si>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</si>
  <si>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</si>
  <si>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</si>
  <si>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</si>
  <si>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</si>
  <si>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</si>
  <si>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</si>
  <si>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</si>
  <si>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</si>
  <si>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</si>
  <si>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</si>
  <si>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</si>
  <si>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</si>
  <si>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</si>
  <si>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</si>
  <si>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</si>
  <si>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</si>
  <si>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</si>
  <si>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</si>
  <si>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</si>
  <si>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</si>
  <si>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</si>
  <si>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</si>
  <si>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</si>
  <si>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</si>
  <si>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</si>
  <si>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</si>
  <si>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</si>
  <si>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Row Labels</t>
  </si>
  <si>
    <t>Grand Total</t>
  </si>
  <si>
    <t>Total Sales</t>
  </si>
  <si>
    <t>Total Orders</t>
  </si>
  <si>
    <t>Total Offers</t>
  </si>
  <si>
    <t>Average Order Value</t>
  </si>
  <si>
    <t>Average order per value</t>
  </si>
  <si>
    <t>Highest Sales (2024)</t>
  </si>
  <si>
    <t>Highest Orders(2024)</t>
  </si>
  <si>
    <t>Customer with highest sales (162)</t>
  </si>
  <si>
    <t>Customer with highest Orders (126)</t>
  </si>
  <si>
    <t>Product with highest Sales(P2)</t>
  </si>
  <si>
    <t>Product with highest Orders(P2)</t>
  </si>
  <si>
    <t>Conversion rate (%)</t>
  </si>
  <si>
    <t>Most offers are successfully converted into orders.</t>
  </si>
  <si>
    <t>Salesperson</t>
  </si>
  <si>
    <t>Top Performers: S3,S4,S16</t>
  </si>
  <si>
    <t>Lowest Performers: S5,S7</t>
  </si>
  <si>
    <t>Revenue is concentrated among few salesperson, need to train low performers</t>
  </si>
  <si>
    <t>Order Distribution</t>
  </si>
  <si>
    <t>Highest orders: P2,P4,P6</t>
  </si>
  <si>
    <t>Lowest Orders: P9</t>
  </si>
  <si>
    <t>Overall consistent in the demand pattern of the orders</t>
  </si>
  <si>
    <t>Sales Distribution</t>
  </si>
  <si>
    <t>Highest Sales: P2,P4,P6</t>
  </si>
  <si>
    <t>Lowest Sales: P9,P11</t>
  </si>
  <si>
    <t>For scaling, focus on high performing products</t>
  </si>
  <si>
    <t>Re-evaluate strategy for low demand products</t>
  </si>
  <si>
    <t>Key Business Takeways</t>
  </si>
  <si>
    <t>High dependency on a few customers → diversification needed</t>
  </si>
  <si>
    <t>Indicates  strong revenue generation with high value transactions</t>
  </si>
  <si>
    <r>
      <t xml:space="preserve">Business is in a </t>
    </r>
    <r>
      <rPr>
        <b/>
        <sz val="18"/>
        <color theme="0"/>
        <rFont val="Aptos Narrow"/>
        <family val="2"/>
        <scheme val="minor"/>
      </rPr>
      <t>growth phase with strong yearly performance</t>
    </r>
  </si>
  <si>
    <r>
      <t>Conversion rate is excellent</t>
    </r>
    <r>
      <rPr>
        <sz val="18"/>
        <color theme="0"/>
        <rFont val="Aptos Narrow"/>
        <family val="2"/>
        <scheme val="minor"/>
      </rPr>
      <t>, indicating effective sales strategy</t>
    </r>
  </si>
  <si>
    <r>
      <t xml:space="preserve">Revenue is </t>
    </r>
    <r>
      <rPr>
        <b/>
        <sz val="18"/>
        <color theme="0"/>
        <rFont val="Aptos Narrow"/>
        <family val="2"/>
        <scheme val="minor"/>
      </rPr>
      <t>skewed toward top salespersons and products</t>
    </r>
  </si>
  <si>
    <r>
      <t xml:space="preserve">There is </t>
    </r>
    <r>
      <rPr>
        <b/>
        <sz val="18"/>
        <color theme="0"/>
        <rFont val="Aptos Narrow"/>
        <family val="2"/>
        <scheme val="minor"/>
      </rPr>
      <t>scope to improve underperforming salespersons and products</t>
    </r>
  </si>
  <si>
    <t>Objective</t>
  </si>
  <si>
    <t>The objective of this project is to track the sales and orders of ABC ltd  , managing and finding customer interactions and tracking the performance of Salespersons</t>
  </si>
  <si>
    <t>Tools used</t>
  </si>
  <si>
    <t>Excel Tables, Pivot Tables, Power pivot, pivot charts, Power query and Slicers</t>
  </si>
  <si>
    <t>Skills Demonstrated</t>
  </si>
  <si>
    <t>Data Cleaning, Data Visualization, Trend Analysis, Data Analysis, Problem Solving, Business Insight Generation, KPI tracking and Reporting, Analytical Thinking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</si>
</sst>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 #,##0_ ;_ * \-#,##0_ ;_ * &quot;-&quot;_ ;_ @_ "/>
    <numFmt numFmtId="44" formatCode="_ &quot;₹&quot;\ * #,##0.00_ ;_ &quot;₹&quot;\ * \-#,##0.00_ ;_ &quot;₹&quot;\ * &quot;-&quot;??_ ;_ @_ "/>
    <numFmt numFmtId="164" formatCode="_ [$₹-4009]\ * #,##0.0_ ;_ [$₹-4009]\ * \-#,##0.0_ ;_ [$₹-4009]\ * &quot;-&quot;??_ ;_ @_ "/>
    <numFmt numFmtId="165" formatCode="_ [$₹-4009]\ * #,##0_ ;_ [$₹-4009]\ * \-#,##0_ ;_ [$₹-4009]\ * &quot;-&quot;??_ ;_ @_ "/>
    <numFmt numFmtId="166" formatCode="&quot;₹&quot;\ #,##0"/>
    <numFmt numFmtId="167" formatCode="_ [$₹-4009]\ * #,##0.00_ ;_ [$₹-4009]\ * \-#,##0.00_ ;_ [$₹-4009]\ * &quot;-&quot;??_ ;_ @_ "/>
  </numFmts>
  <fonts count="12" x14ac:knownFonts="1">
    <font>
      <sz val="11"/>
      <color theme="1"/>
      <name val="Aptos Narrow"/>
      <family val="2"/>
      <scheme val="minor"/>
    </font>
    <font>
      <sz val="11"/>
      <color theme="1"/>
      <name val="Aptos Narrow"/>
      <family val="2"/>
      <scheme val="minor"/>
    </font>
    <font>
      <sz val="11"/>
      <color theme="0"/>
      <name val="Aptos Narrow"/>
      <family val="2"/>
      <scheme val="minor"/>
    </font>
    <font>
      <sz val="12"/>
      <color theme="0"/>
      <name val="Aptos Narrow"/>
      <family val="2"/>
      <scheme val="minor"/>
    </font>
    <font>
      <sz val="14"/>
      <color theme="0"/>
      <name val="Aptos Narrow"/>
      <family val="2"/>
      <scheme val="minor"/>
    </font>
    <font>
      <sz val="16"/>
      <color theme="0"/>
      <name val="Aptos Narrow"/>
      <family val="2"/>
      <scheme val="minor"/>
    </font>
    <font>
      <sz val="12"/>
      <color theme="1"/>
      <name val="Aptos Narrow"/>
      <family val="2"/>
      <scheme val="minor"/>
    </font>
    <font>
      <sz val="18"/>
      <color theme="0"/>
      <name val="Aptos Narrow"/>
      <family val="2"/>
      <scheme val="minor"/>
    </font>
    <font>
      <b/>
      <sz val="16"/>
      <color theme="1"/>
      <name val="Aptos Narrow"/>
      <family val="2"/>
      <scheme val="minor"/>
    </font>
    <font>
      <b/>
      <sz val="16"/>
      <color theme="0"/>
      <name val="Aptos Narrow"/>
      <family val="2"/>
      <scheme val="minor"/>
    </font>
    <font>
      <b/>
      <sz val="18"/>
      <color theme="0"/>
      <name val="Aptos Narrow"/>
      <family val="2"/>
      <scheme val="minor"/>
    </font>
    <font>
      <b/>
      <u/>
      <sz val="22"/>
      <color theme="0"/>
      <name val="Aptos Narrow"/>
      <family val="2"/>
      <scheme val="minor"/>
    </font>
  </fonts>
  <fills count="5">
    <fill>
      <patternFill patternType="none"/>
    </fill>
    <fill>
      <patternFill patternType="gray125"/>
    </fill>
    <fill>
      <patternFill patternType="solid">
        <fgColor rgb="FF1E1E2F"/>
        <bgColor indexed="64"/>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37">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3" fontId="0" fillId="0" borderId="0" xfId="0" applyNumberFormat="1"/>
    <xf numFmtId="41" fontId="0" fillId="0" borderId="0" xfId="0" applyNumberFormat="1"/>
    <xf numFmtId="0" fontId="0" fillId="2" borderId="0" xfId="0" applyFill="1" applyAlignment="1">
      <alignment horizontal="center"/>
    </xf>
    <xf numFmtId="0" fontId="2" fillId="2" borderId="0" xfId="0" applyFont="1" applyFill="1"/>
    <xf numFmtId="0" fontId="3" fillId="2" borderId="0" xfId="0" applyFont="1" applyFill="1"/>
    <xf numFmtId="167" fontId="5" fillId="2" borderId="0" xfId="0" applyNumberFormat="1" applyFont="1" applyFill="1"/>
    <xf numFmtId="0" fontId="6" fillId="2" borderId="0" xfId="0" applyFont="1" applyFill="1"/>
    <xf numFmtId="0" fontId="4" fillId="2" borderId="0" xfId="0" applyFont="1" applyFill="1" applyAlignment="1">
      <alignment horizontal="center"/>
    </xf>
    <xf numFmtId="0" fontId="0" fillId="2" borderId="0" xfId="0" applyFill="1" applyAlignment="1">
      <alignment horizontal="left"/>
    </xf>
    <xf numFmtId="0" fontId="5" fillId="2" borderId="0" xfId="0" applyFont="1" applyFill="1" applyAlignment="1">
      <alignment horizontal="right"/>
    </xf>
    <xf numFmtId="0" fontId="5" fillId="2" borderId="0" xfId="0" applyFont="1" applyFill="1"/>
    <xf numFmtId="0" fontId="7" fillId="2" borderId="0" xfId="0" applyFont="1" applyFill="1"/>
    <xf numFmtId="167" fontId="7" fillId="2" borderId="0" xfId="0" applyNumberFormat="1" applyFont="1" applyFill="1"/>
    <xf numFmtId="0" fontId="8" fillId="3" borderId="0" xfId="0" applyFont="1" applyFill="1"/>
    <xf numFmtId="0" fontId="5" fillId="2" borderId="0" xfId="0" applyFont="1" applyFill="1" applyAlignment="1">
      <alignment horizontal="center"/>
    </xf>
    <xf numFmtId="0" fontId="7" fillId="2" borderId="0" xfId="0" applyFont="1" applyFill="1" applyAlignment="1">
      <alignment horizontal="center"/>
    </xf>
    <xf numFmtId="44" fontId="7" fillId="2" borderId="0" xfId="0" applyNumberFormat="1" applyFont="1" applyFill="1" applyAlignment="1">
      <alignment horizontal="center" vertical="top"/>
    </xf>
    <xf numFmtId="2" fontId="7" fillId="2" borderId="0" xfId="0" applyNumberFormat="1" applyFont="1" applyFill="1" applyAlignment="1">
      <alignment horizontal="center"/>
    </xf>
    <xf numFmtId="0" fontId="6" fillId="3" borderId="0" xfId="0" applyFont="1" applyFill="1"/>
    <xf numFmtId="0" fontId="9" fillId="4" borderId="0" xfId="0" applyFont="1" applyFill="1"/>
    <xf numFmtId="0" fontId="5" fillId="4" borderId="0" xfId="0" applyFont="1" applyFill="1"/>
    <xf numFmtId="0" fontId="10" fillId="4" borderId="0" xfId="0" applyFont="1" applyFill="1"/>
    <xf numFmtId="0" fontId="10" fillId="2" borderId="0" xfId="0" applyFont="1" applyFill="1"/>
    <xf numFmtId="0" fontId="8" fillId="3" borderId="0" xfId="0" applyFont="1" applyFill="1"/>
    <xf numFmtId="0" fontId="8" fillId="3" borderId="0" xfId="0" applyFont="1" applyFill="1" applyAlignment="1">
      <alignment horizontal="center"/>
    </xf>
    <xf numFmtId="0" fontId="11" fillId="2" borderId="0" xfId="0" applyFont="1" applyFill="1"/>
    <xf numFmtId="0" fontId="5" fillId="2" borderId="0" xfId="0" applyFont="1" applyFill="1"/>
    <xf numFmtId="167" fontId="7" fillId="2" borderId="0" xfId="0" applyNumberFormat="1" applyFont="1" applyFill="1" applyAlignment="1">
      <alignment horizontal="right" vertical="center"/>
    </xf>
    <xf numFmtId="44" fontId="7" fillId="2" borderId="0" xfId="1" applyFont="1" applyFill="1" applyAlignment="1">
      <alignment horizontal="left"/>
    </xf>
    <xf numFmtId="0" fontId="7" fillId="2" borderId="0" xfId="0" applyFont="1" applyFill="1" applyAlignment="1">
      <alignment horizontal="right"/>
    </xf>
  </cellXfs>
  <cellStyles count="2">
    <cellStyle name="Currency" xfId="1" builtinId="4"/>
    <cellStyle name="Normal" xfId="0" builtinId="0"/>
  </cellStyles>
  <dxfs count="26">
    <dxf>
      <numFmt numFmtId="166" formatCode="&quot;₹&quot;\ #,##0"/>
    </dxf>
    <dxf>
      <numFmt numFmtId="0" formatCode="General"/>
    </dxf>
    <dxf>
      <numFmt numFmtId="164" formatCode="_ [$₹-4009]\ * #,##0.0_ ;_ [$₹-4009]\ * \-#,##0.0_ ;_ [$₹-4009]\ * &quot;-&quot;??_ ;_ @_ "/>
    </dxf>
    <dxf>
      <numFmt numFmtId="165" formatCode="_ [$₹-4009]\ * #,##0_ ;_ [$₹-4009]\ * \-#,##0_ ;_ [$₹-4009]\ * &quot;-&quot;??_ ;_ @_ "/>
    </dxf>
    <dxf>
      <numFmt numFmtId="0" formatCode="General"/>
    </dxf>
    <dxf>
      <numFmt numFmtId="0" formatCode="General"/>
    </dxf>
    <dxf>
      <numFmt numFmtId="165" formatCode="_ [$₹-4009]\ * #,##0_ ;_ [$₹-4009]\ * \-#,##0_ ;_ [$₹-4009]\ * &quot;-&quot;??_ ;_ @_ "/>
    </dxf>
    <dxf>
      <numFmt numFmtId="0" formatCode="General"/>
    </dxf>
    <dxf>
      <numFmt numFmtId="3" formatCode="#,##0"/>
    </dxf>
    <dxf>
      <numFmt numFmtId="166" formatCode="&quot;₹&quot;\ #,##0"/>
    </dxf>
    <dxf>
      <numFmt numFmtId="0" formatCode="General"/>
    </dxf>
    <dxf>
      <numFmt numFmtId="165" formatCode="_ [$₹-4009]\ * #,##0_ ;_ [$₹-4009]\ * \-#,##0_ ;_ [$₹-4009]\ * &quot;-&quot;??_ ;_ @_ "/>
    </dxf>
    <dxf>
      <numFmt numFmtId="0" formatCode="General"/>
    </dxf>
    <dxf>
      <numFmt numFmtId="0" formatCode="General"/>
    </dxf>
    <dxf>
      <numFmt numFmtId="0" formatCode="General"/>
    </dxf>
    <dxf>
      <fill>
        <patternFill patternType="solid">
          <fgColor theme="0" tint="-0.14999847407452621"/>
          <bgColor theme="0" tint="-0.14999847407452621"/>
        </patternFill>
      </fill>
    </dxf>
    <dxf>
      <fill>
        <patternFill patternType="solid">
          <fgColor theme="0" tint="-0.14996795556505021"/>
          <bgColor theme="0" tint="-4.9989318521683403E-2"/>
        </patternFill>
      </fill>
    </dxf>
    <dxf>
      <font>
        <b/>
        <color theme="1"/>
      </font>
    </dxf>
    <dxf>
      <font>
        <b/>
        <color theme="1"/>
      </font>
    </dxf>
    <dxf>
      <font>
        <b/>
        <color theme="1"/>
      </font>
      <border>
        <top style="thin">
          <color theme="1"/>
        </top>
      </border>
    </dxf>
    <dxf>
      <font>
        <b/>
        <color theme="1"/>
      </font>
      <border>
        <bottom style="thin">
          <color theme="1"/>
        </bottom>
      </border>
    </dxf>
    <dxf>
      <font>
        <color theme="1"/>
      </font>
      <border>
        <top style="thin">
          <color theme="1"/>
        </top>
        <bottom style="thin">
          <color theme="1"/>
        </bottom>
      </border>
    </dxf>
    <dxf>
      <font>
        <b/>
        <i val="0"/>
        <sz val="12"/>
        <color theme="0"/>
        <name val="Arial"/>
        <family val="2"/>
        <scheme val="none"/>
      </font>
      <fill>
        <patternFill>
          <b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
      <font>
        <b/>
        <i val="0"/>
        <sz val="12"/>
        <color rgb="FF9EC1FB"/>
        <name val="Arial"/>
        <family val="2"/>
        <scheme val="none"/>
      </font>
      <fill>
        <patternFill>
          <bgColor theme="5"/>
        </patternFill>
      </fill>
      <border diagonalUp="0" diagonalDown="0">
        <left/>
        <right/>
        <top/>
        <bottom/>
        <vertical/>
        <horizontal/>
      </border>
    </dxf>
    <dxf>
      <font>
        <color theme="1"/>
      </font>
      <fill>
        <patternFill patternType="solid">
          <fgColor auto="1"/>
          <bgColor theme="5"/>
        </patternFill>
      </fill>
      <border diagonalUp="0" diagonalDown="0">
        <left/>
        <right/>
        <top/>
        <bottom/>
        <vertical/>
        <horizontal/>
      </border>
    </dxf>
  </dxfs>
  <tableStyles count="3" defaultTableStyle="TableStyleMedium2" defaultPivotStyle="PivotStyleLight16">
    <tableStyle name="SlicerStyleLight3 2" pivot="0" table="0" count="10" xr9:uid="{F21CC30F-5398-457E-A90B-77622DAC2D58}">
      <tableStyleElement type="wholeTable" dxfId="25"/>
      <tableStyleElement type="headerRow" dxfId="24"/>
    </tableStyle>
    <tableStyle name="SlicerStyleLight3 2 2" pivot="0" table="0" count="10" xr9:uid="{CEDEE507-498E-474A-B826-7EE37E8DC882}">
      <tableStyleElement type="wholeTable" dxfId="23"/>
      <tableStyleElement type="headerRow" dxfId="22"/>
    </tableStyle>
    <tableStyle name="TableStyleLight1 2" pivot="0" count="7" xr9:uid="{B4215CFB-007A-F24A-8330-023C32B9620E}">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1E1E2F"/>
      <color rgb="FF7B3D46"/>
      <color rgb="FFE7D8B5"/>
      <color rgb="FFD9DAC2"/>
      <color rgb="FFF5F7FA"/>
      <color rgb="FF2A2A40"/>
      <color rgb="FFFFFFFF"/>
      <color rgb="FF2B9CFF"/>
      <color rgb="FF5D54FB"/>
      <color rgb="FF36C1C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name val="Arial"/>
            <family val="2"/>
            <scheme val="none"/>
          </font>
          <fill>
            <patternFill patternType="solid">
              <fgColor auto="1"/>
              <bgColor theme="5"/>
            </patternFill>
          </fill>
          <border diagonalUp="0" diagonalDown="0">
            <left/>
            <right/>
            <top/>
            <bottom/>
            <vertical/>
            <horizontal/>
          </border>
        </dxf>
        <dxf>
          <font>
            <b/>
            <i val="0"/>
            <sz val="12"/>
            <color theme="0"/>
            <name val="Arial"/>
            <family val="2"/>
            <scheme val="none"/>
          </font>
          <fill>
            <patternFill patternType="solid">
              <fgColor auto="1"/>
              <bgColor theme="5"/>
            </patternFill>
          </fill>
          <border diagonalUp="0" diagonalDown="0">
            <left/>
            <right/>
            <top/>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val="0"/>
            <i val="0"/>
            <sz val="12"/>
            <color rgb="FF5D54FB"/>
            <name val="Arial"/>
            <family val="2"/>
            <scheme val="none"/>
          </font>
          <fill>
            <patternFill patternType="solid">
              <fgColor auto="1"/>
              <bgColor theme="0"/>
            </patternFill>
          </fill>
          <border diagonalUp="0" diagonalDown="0">
            <left style="thin">
              <color theme="0" tint="-0.14996795556505021"/>
            </left>
            <right style="thin">
              <color theme="0" tint="-0.14996795556505021"/>
            </right>
            <top style="thin">
              <color theme="0" tint="-0.14996795556505021"/>
            </top>
            <bottom style="thin">
              <color theme="0" tint="-0.1499679555650502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2"/>
            <color theme="0" tint="-0.24994659260841701"/>
            <name val="Arial"/>
            <family val="2"/>
            <scheme val="none"/>
          </font>
          <fill>
            <patternFill patternType="solid">
              <fgColor rgb="FFFFFFFF"/>
              <bgColor theme="0"/>
            </patternFill>
          </fill>
          <border diagonalUp="0" diagonalDown="0">
            <left/>
            <right/>
            <top/>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5D54FB"/>
            <name val="Arial"/>
            <family val="2"/>
            <scheme val="none"/>
          </font>
          <fill>
            <patternFill patternType="solid">
              <fgColor auto="1"/>
              <bgColor theme="5"/>
            </patternFill>
          </fill>
          <border diagonalUp="0" diagonalDown="0">
            <left style="thick">
              <color rgb="FF2B9CFF"/>
            </left>
            <right/>
            <top/>
            <bottom/>
            <vertical/>
            <horizontal/>
          </border>
        </dxf>
        <dxf>
          <font>
            <b/>
            <i val="0"/>
            <sz val="14"/>
            <color rgb="FF5D54FB"/>
            <name val="Arial"/>
            <family val="2"/>
            <scheme val="none"/>
          </font>
          <fill>
            <patternFill patternType="solid">
              <fgColor auto="1"/>
              <bgColor theme="5"/>
            </patternFill>
          </fill>
          <border diagonalUp="0" diagonalDown="0">
            <left style="thick">
              <color rgb="FF2B9CFF"/>
            </left>
            <right/>
            <top/>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sz val="14"/>
            <color theme="0"/>
            <name val="Arial"/>
            <family val="2"/>
            <scheme val="none"/>
          </font>
          <fill>
            <patternFill patternType="solid">
              <fgColor auto="1"/>
              <bgColor theme="5"/>
            </patternFill>
          </fill>
          <border diagonalUp="0" diagonalDown="0">
            <left style="thick">
              <color rgb="FF36C1C1"/>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sz val="12"/>
            <color theme="0" tint="-4.9989318521683403E-2"/>
            <name val="Arial"/>
            <family val="2"/>
            <scheme val="none"/>
          </font>
          <fill>
            <patternFill patternType="solid">
              <fgColor rgb="FFFFFFFF"/>
              <bgColor theme="5"/>
            </patternFill>
          </fill>
          <border diagonalUp="0" diagonalDown="0">
            <left style="thin">
              <color rgb="FF5D54FB"/>
            </left>
            <right/>
            <top/>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Tables!Year wise Sales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Year</a:t>
            </a:r>
            <a:r>
              <a:rPr lang="en-US" sz="1600" b="1" baseline="0">
                <a:solidFill>
                  <a:schemeClr val="tx1"/>
                </a:solidFill>
              </a:rPr>
              <a:t> wise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3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rgbClr val="7B3D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2021</c:v>
                </c:pt>
                <c:pt idx="1">
                  <c:v>2022</c:v>
                </c:pt>
                <c:pt idx="2">
                  <c:v>2023</c:v>
                </c:pt>
                <c:pt idx="3">
                  <c:v>2024</c:v>
                </c:pt>
              </c:strCache>
            </c:strRef>
          </c:cat>
          <c:val>
            <c:numRef>
              <c:f>'Pivot Tables'!$B$4:$B$8</c:f>
              <c:numCache>
                <c:formatCode>_ [$₹-4009]\ * #,##0.0_ ;_ [$₹-4009]\ * \-#,##0.0_ ;_ [$₹-4009]\ * "-"??_ ;_ @_ </c:formatCode>
                <c:ptCount val="4"/>
                <c:pt idx="0">
                  <c:v>96776472</c:v>
                </c:pt>
                <c:pt idx="1">
                  <c:v>108753258</c:v>
                </c:pt>
                <c:pt idx="2">
                  <c:v>111014232</c:v>
                </c:pt>
                <c:pt idx="3">
                  <c:v>165339896</c:v>
                </c:pt>
              </c:numCache>
            </c:numRef>
          </c:val>
          <c:extLst>
            <c:ext xmlns:c16="http://schemas.microsoft.com/office/drawing/2014/chart" uri="{C3380CC4-5D6E-409C-BE32-E72D297353CC}">
              <c16:uniqueId val="{00000000-AC2A-495A-BA9A-6083004D0EE0}"/>
            </c:ext>
          </c:extLst>
        </c:ser>
        <c:dLbls>
          <c:dLblPos val="outEnd"/>
          <c:showLegendKey val="0"/>
          <c:showVal val="1"/>
          <c:showCatName val="0"/>
          <c:showSerName val="0"/>
          <c:showPercent val="0"/>
          <c:showBubbleSize val="0"/>
        </c:dLbls>
        <c:gapWidth val="182"/>
        <c:axId val="1322385583"/>
        <c:axId val="1322392303"/>
      </c:barChart>
      <c:catAx>
        <c:axId val="132238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22392303"/>
        <c:crosses val="autoZero"/>
        <c:auto val="1"/>
        <c:lblAlgn val="ctr"/>
        <c:lblOffset val="100"/>
        <c:noMultiLvlLbl val="0"/>
      </c:catAx>
      <c:valAx>
        <c:axId val="1322392303"/>
        <c:scaling>
          <c:orientation val="minMax"/>
        </c:scaling>
        <c:delete val="1"/>
        <c:axPos val="l"/>
        <c:numFmt formatCode="_ [$₹-4009]\ * #,##0.0_ ;_ [$₹-4009]\ * \-#,##0.0_ ;_ [$₹-4009]\ * &quot;-&quot;??_ ;_ @_ " sourceLinked="1"/>
        <c:majorTickMark val="none"/>
        <c:minorTickMark val="none"/>
        <c:tickLblPos val="nextTo"/>
        <c:crossAx val="132238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Tables!Year wise Offers and Orders</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Total</a:t>
            </a:r>
            <a:r>
              <a:rPr lang="en-IN" sz="1600" b="1" baseline="0">
                <a:solidFill>
                  <a:schemeClr val="tx1"/>
                </a:solidFill>
              </a:rPr>
              <a:t> Offers and Total Orders Year wise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7D8B5"/>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 Offers</c:v>
                </c:pt>
              </c:strCache>
            </c:strRef>
          </c:tx>
          <c:spPr>
            <a:solidFill>
              <a:srgbClr val="E7D8B5"/>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2021</c:v>
                </c:pt>
                <c:pt idx="1">
                  <c:v>2022</c:v>
                </c:pt>
                <c:pt idx="2">
                  <c:v>2023</c:v>
                </c:pt>
                <c:pt idx="3">
                  <c:v>2024</c:v>
                </c:pt>
              </c:strCache>
            </c:strRef>
          </c:cat>
          <c:val>
            <c:numRef>
              <c:f>'Pivot Tables'!$E$4:$E$8</c:f>
              <c:numCache>
                <c:formatCode>General</c:formatCode>
                <c:ptCount val="4"/>
                <c:pt idx="0">
                  <c:v>108120</c:v>
                </c:pt>
                <c:pt idx="1">
                  <c:v>118923</c:v>
                </c:pt>
                <c:pt idx="2">
                  <c:v>117691</c:v>
                </c:pt>
                <c:pt idx="3">
                  <c:v>118722</c:v>
                </c:pt>
              </c:numCache>
            </c:numRef>
          </c:val>
          <c:extLst>
            <c:ext xmlns:c16="http://schemas.microsoft.com/office/drawing/2014/chart" uri="{C3380CC4-5D6E-409C-BE32-E72D297353CC}">
              <c16:uniqueId val="{00000000-5327-4CDD-A938-EF06BAF811D0}"/>
            </c:ext>
          </c:extLst>
        </c:ser>
        <c:ser>
          <c:idx val="1"/>
          <c:order val="1"/>
          <c:tx>
            <c:strRef>
              <c:f>'Pivot Tables'!$F$3</c:f>
              <c:strCache>
                <c:ptCount val="1"/>
                <c:pt idx="0">
                  <c:v>Total Orders</c:v>
                </c:pt>
              </c:strCache>
            </c:strRef>
          </c:tx>
          <c:spPr>
            <a:solidFill>
              <a:schemeClr val="bg2">
                <a:lumMod val="50000"/>
              </a:schemeClr>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2021</c:v>
                </c:pt>
                <c:pt idx="1">
                  <c:v>2022</c:v>
                </c:pt>
                <c:pt idx="2">
                  <c:v>2023</c:v>
                </c:pt>
                <c:pt idx="3">
                  <c:v>2024</c:v>
                </c:pt>
              </c:strCache>
            </c:strRef>
          </c:cat>
          <c:val>
            <c:numRef>
              <c:f>'Pivot Tables'!$F$4:$F$8</c:f>
              <c:numCache>
                <c:formatCode>General</c:formatCode>
                <c:ptCount val="4"/>
                <c:pt idx="0">
                  <c:v>108094</c:v>
                </c:pt>
                <c:pt idx="1">
                  <c:v>112704</c:v>
                </c:pt>
                <c:pt idx="2">
                  <c:v>112445</c:v>
                </c:pt>
                <c:pt idx="3">
                  <c:v>115489</c:v>
                </c:pt>
              </c:numCache>
            </c:numRef>
          </c:val>
          <c:extLst>
            <c:ext xmlns:c16="http://schemas.microsoft.com/office/drawing/2014/chart" uri="{C3380CC4-5D6E-409C-BE32-E72D297353CC}">
              <c16:uniqueId val="{00000001-5327-4CDD-A938-EF06BAF811D0}"/>
            </c:ext>
          </c:extLst>
        </c:ser>
        <c:dLbls>
          <c:dLblPos val="inEnd"/>
          <c:showLegendKey val="0"/>
          <c:showVal val="1"/>
          <c:showCatName val="0"/>
          <c:showSerName val="0"/>
          <c:showPercent val="0"/>
          <c:showBubbleSize val="0"/>
        </c:dLbls>
        <c:gapWidth val="182"/>
        <c:axId val="46575808"/>
        <c:axId val="46592608"/>
      </c:barChart>
      <c:catAx>
        <c:axId val="4657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592608"/>
        <c:crosses val="autoZero"/>
        <c:auto val="1"/>
        <c:lblAlgn val="ctr"/>
        <c:lblOffset val="100"/>
        <c:noMultiLvlLbl val="0"/>
      </c:catAx>
      <c:valAx>
        <c:axId val="46592608"/>
        <c:scaling>
          <c:orientation val="minMax"/>
        </c:scaling>
        <c:delete val="1"/>
        <c:axPos val="b"/>
        <c:numFmt formatCode="General" sourceLinked="1"/>
        <c:majorTickMark val="none"/>
        <c:minorTickMark val="none"/>
        <c:tickLblPos val="nextTo"/>
        <c:crossAx val="4657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Tables!Product wise Sales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Product wise Total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3D4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solidFill>
              <a:srgbClr val="7B3D4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Tables'!$A$12:$A$21</c:f>
              <c:strCache>
                <c:ptCount val="9"/>
                <c:pt idx="0">
                  <c:v>P1</c:v>
                </c:pt>
                <c:pt idx="1">
                  <c:v>P11</c:v>
                </c:pt>
                <c:pt idx="2">
                  <c:v>P2</c:v>
                </c:pt>
                <c:pt idx="3">
                  <c:v>P24</c:v>
                </c:pt>
                <c:pt idx="4">
                  <c:v>P3</c:v>
                </c:pt>
                <c:pt idx="5">
                  <c:v>P34</c:v>
                </c:pt>
                <c:pt idx="6">
                  <c:v>P4</c:v>
                </c:pt>
                <c:pt idx="7">
                  <c:v>P6</c:v>
                </c:pt>
                <c:pt idx="8">
                  <c:v>P9</c:v>
                </c:pt>
              </c:strCache>
            </c:strRef>
          </c:cat>
          <c:val>
            <c:numRef>
              <c:f>'Pivot Tables'!$B$12:$B$21</c:f>
              <c:numCache>
                <c:formatCode>_ [$₹-4009]\ * #,##0_ ;_ [$₹-4009]\ * \-#,##0_ ;_ [$₹-4009]\ * "-"??_ ;_ @_ </c:formatCode>
                <c:ptCount val="9"/>
                <c:pt idx="0">
                  <c:v>47264171</c:v>
                </c:pt>
                <c:pt idx="1">
                  <c:v>38777655</c:v>
                </c:pt>
                <c:pt idx="2">
                  <c:v>71503397</c:v>
                </c:pt>
                <c:pt idx="3">
                  <c:v>55340564</c:v>
                </c:pt>
                <c:pt idx="4">
                  <c:v>32889094</c:v>
                </c:pt>
                <c:pt idx="5">
                  <c:v>59140400</c:v>
                </c:pt>
                <c:pt idx="6">
                  <c:v>68979383</c:v>
                </c:pt>
                <c:pt idx="7">
                  <c:v>69405174</c:v>
                </c:pt>
                <c:pt idx="8">
                  <c:v>38584020</c:v>
                </c:pt>
              </c:numCache>
            </c:numRef>
          </c:val>
          <c:extLst>
            <c:ext xmlns:c16="http://schemas.microsoft.com/office/drawing/2014/chart" uri="{C3380CC4-5D6E-409C-BE32-E72D297353CC}">
              <c16:uniqueId val="{00000000-4456-4950-9D30-3A89A3CB1FC4}"/>
            </c:ext>
          </c:extLst>
        </c:ser>
        <c:dLbls>
          <c:dLblPos val="outEnd"/>
          <c:showLegendKey val="0"/>
          <c:showVal val="1"/>
          <c:showCatName val="0"/>
          <c:showSerName val="0"/>
          <c:showPercent val="0"/>
          <c:showBubbleSize val="0"/>
        </c:dLbls>
        <c:gapWidth val="76"/>
        <c:axId val="46556608"/>
        <c:axId val="46551328"/>
      </c:barChart>
      <c:catAx>
        <c:axId val="4655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551328"/>
        <c:crosses val="autoZero"/>
        <c:auto val="1"/>
        <c:lblAlgn val="ctr"/>
        <c:lblOffset val="100"/>
        <c:noMultiLvlLbl val="0"/>
      </c:catAx>
      <c:valAx>
        <c:axId val="46551328"/>
        <c:scaling>
          <c:orientation val="minMax"/>
        </c:scaling>
        <c:delete val="1"/>
        <c:axPos val="b"/>
        <c:numFmt formatCode="_ [$₹-4009]\ * #,##0_ ;_ [$₹-4009]\ * \-#,##0_ ;_ [$₹-4009]\ * &quot;-&quot;??_ ;_ @_ " sourceLinked="1"/>
        <c:majorTickMark val="none"/>
        <c:minorTickMark val="none"/>
        <c:tickLblPos val="nextTo"/>
        <c:crossAx val="4655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Tables!Product wiese Orders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Product</a:t>
            </a:r>
            <a:r>
              <a:rPr lang="en-US" sz="1600" b="1" baseline="0">
                <a:solidFill>
                  <a:schemeClr val="tx1"/>
                </a:solidFill>
              </a:rPr>
              <a:t> wise Total Orders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Tables'!$I$16</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Tables'!$H$17:$H$26</c:f>
              <c:strCache>
                <c:ptCount val="9"/>
                <c:pt idx="0">
                  <c:v>P24</c:v>
                </c:pt>
                <c:pt idx="1">
                  <c:v>P1</c:v>
                </c:pt>
                <c:pt idx="2">
                  <c:v>P11</c:v>
                </c:pt>
                <c:pt idx="3">
                  <c:v>P2</c:v>
                </c:pt>
                <c:pt idx="4">
                  <c:v>P3</c:v>
                </c:pt>
                <c:pt idx="5">
                  <c:v>P34</c:v>
                </c:pt>
                <c:pt idx="6">
                  <c:v>P4</c:v>
                </c:pt>
                <c:pt idx="7">
                  <c:v>P6</c:v>
                </c:pt>
                <c:pt idx="8">
                  <c:v>P9</c:v>
                </c:pt>
              </c:strCache>
            </c:strRef>
          </c:cat>
          <c:val>
            <c:numRef>
              <c:f>'Pivot Tables'!$I$17:$I$26</c:f>
              <c:numCache>
                <c:formatCode>General</c:formatCode>
                <c:ptCount val="9"/>
                <c:pt idx="0">
                  <c:v>47805</c:v>
                </c:pt>
                <c:pt idx="1">
                  <c:v>47131</c:v>
                </c:pt>
                <c:pt idx="2">
                  <c:v>34914</c:v>
                </c:pt>
                <c:pt idx="3">
                  <c:v>70807</c:v>
                </c:pt>
                <c:pt idx="4">
                  <c:v>45017</c:v>
                </c:pt>
                <c:pt idx="5">
                  <c:v>46418</c:v>
                </c:pt>
                <c:pt idx="6">
                  <c:v>61326</c:v>
                </c:pt>
                <c:pt idx="7">
                  <c:v>56629</c:v>
                </c:pt>
                <c:pt idx="8">
                  <c:v>38685</c:v>
                </c:pt>
              </c:numCache>
            </c:numRef>
          </c:val>
          <c:extLst>
            <c:ext xmlns:c16="http://schemas.microsoft.com/office/drawing/2014/chart" uri="{C3380CC4-5D6E-409C-BE32-E72D297353CC}">
              <c16:uniqueId val="{00000000-23FD-47AB-9438-5537F90CB4CA}"/>
            </c:ext>
          </c:extLst>
        </c:ser>
        <c:dLbls>
          <c:dLblPos val="outEnd"/>
          <c:showLegendKey val="0"/>
          <c:showVal val="1"/>
          <c:showCatName val="0"/>
          <c:showSerName val="0"/>
          <c:showPercent val="0"/>
          <c:showBubbleSize val="0"/>
        </c:dLbls>
        <c:gapWidth val="219"/>
        <c:overlap val="-27"/>
        <c:axId val="46557568"/>
        <c:axId val="46541248"/>
      </c:barChart>
      <c:catAx>
        <c:axId val="4655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6541248"/>
        <c:crosses val="autoZero"/>
        <c:auto val="1"/>
        <c:lblAlgn val="ctr"/>
        <c:lblOffset val="100"/>
        <c:noMultiLvlLbl val="0"/>
      </c:catAx>
      <c:valAx>
        <c:axId val="46541248"/>
        <c:scaling>
          <c:orientation val="minMax"/>
        </c:scaling>
        <c:delete val="1"/>
        <c:axPos val="l"/>
        <c:numFmt formatCode="General" sourceLinked="1"/>
        <c:majorTickMark val="none"/>
        <c:minorTickMark val="none"/>
        <c:tickLblPos val="nextTo"/>
        <c:crossAx val="4655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Tables!Top 5 Customers by Sales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Customers with respect to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3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Tables'!$E$11</c:f>
              <c:strCache>
                <c:ptCount val="1"/>
                <c:pt idx="0">
                  <c:v>Total</c:v>
                </c:pt>
              </c:strCache>
            </c:strRef>
          </c:tx>
          <c:spPr>
            <a:solidFill>
              <a:srgbClr val="7B3D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Tables'!$D$12:$D$17</c:f>
              <c:strCache>
                <c:ptCount val="5"/>
                <c:pt idx="0">
                  <c:v>C162</c:v>
                </c:pt>
                <c:pt idx="1">
                  <c:v>C198</c:v>
                </c:pt>
                <c:pt idx="2">
                  <c:v>C54</c:v>
                </c:pt>
                <c:pt idx="3">
                  <c:v>C83</c:v>
                </c:pt>
                <c:pt idx="4">
                  <c:v>C91</c:v>
                </c:pt>
              </c:strCache>
            </c:strRef>
          </c:cat>
          <c:val>
            <c:numRef>
              <c:f>'Pivot Tables'!$E$12:$E$17</c:f>
              <c:numCache>
                <c:formatCode>_ [$₹-4009]\ * #,##0_ ;_ [$₹-4009]\ * \-#,##0_ ;_ [$₹-4009]\ * "-"??_ ;_ @_ </c:formatCode>
                <c:ptCount val="5"/>
                <c:pt idx="0">
                  <c:v>5996731</c:v>
                </c:pt>
                <c:pt idx="1">
                  <c:v>6195272</c:v>
                </c:pt>
                <c:pt idx="2">
                  <c:v>8986644</c:v>
                </c:pt>
                <c:pt idx="3">
                  <c:v>5991921</c:v>
                </c:pt>
                <c:pt idx="4">
                  <c:v>10803852</c:v>
                </c:pt>
              </c:numCache>
            </c:numRef>
          </c:val>
          <c:extLst>
            <c:ext xmlns:c16="http://schemas.microsoft.com/office/drawing/2014/chart" uri="{C3380CC4-5D6E-409C-BE32-E72D297353CC}">
              <c16:uniqueId val="{00000000-9E0E-472A-84D9-A1DF285D4A08}"/>
            </c:ext>
          </c:extLst>
        </c:ser>
        <c:dLbls>
          <c:dLblPos val="outEnd"/>
          <c:showLegendKey val="0"/>
          <c:showVal val="1"/>
          <c:showCatName val="0"/>
          <c:showSerName val="0"/>
          <c:showPercent val="0"/>
          <c:showBubbleSize val="0"/>
        </c:dLbls>
        <c:gapWidth val="219"/>
        <c:overlap val="-27"/>
        <c:axId val="1360941359"/>
        <c:axId val="1360948559"/>
      </c:barChart>
      <c:catAx>
        <c:axId val="136094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0948559"/>
        <c:crosses val="autoZero"/>
        <c:auto val="1"/>
        <c:lblAlgn val="ctr"/>
        <c:lblOffset val="100"/>
        <c:noMultiLvlLbl val="0"/>
      </c:catAx>
      <c:valAx>
        <c:axId val="1360948559"/>
        <c:scaling>
          <c:orientation val="minMax"/>
        </c:scaling>
        <c:delete val="1"/>
        <c:axPos val="l"/>
        <c:numFmt formatCode="_ [$₹-4009]\ * #,##0_ ;_ [$₹-4009]\ * \-#,##0_ ;_ [$₹-4009]\ * &quot;-&quot;??_ ;_ @_ " sourceLinked="1"/>
        <c:majorTickMark val="none"/>
        <c:minorTickMark val="none"/>
        <c:tickLblPos val="nextTo"/>
        <c:crossAx val="136094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Tables!Top 5 Customers by Orders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Customers with respect to Orders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Tables'!$E$19</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Tables'!$D$20:$D$25</c:f>
              <c:strCache>
                <c:ptCount val="5"/>
                <c:pt idx="0">
                  <c:v>C126</c:v>
                </c:pt>
                <c:pt idx="1">
                  <c:v>C158</c:v>
                </c:pt>
                <c:pt idx="2">
                  <c:v>C40</c:v>
                </c:pt>
                <c:pt idx="3">
                  <c:v>C5</c:v>
                </c:pt>
                <c:pt idx="4">
                  <c:v>C91</c:v>
                </c:pt>
              </c:strCache>
            </c:strRef>
          </c:cat>
          <c:val>
            <c:numRef>
              <c:f>'Pivot Tables'!$E$20:$E$25</c:f>
              <c:numCache>
                <c:formatCode>General</c:formatCode>
                <c:ptCount val="5"/>
                <c:pt idx="0">
                  <c:v>4409</c:v>
                </c:pt>
                <c:pt idx="1">
                  <c:v>4301</c:v>
                </c:pt>
                <c:pt idx="2">
                  <c:v>4225</c:v>
                </c:pt>
                <c:pt idx="3">
                  <c:v>4454</c:v>
                </c:pt>
                <c:pt idx="4">
                  <c:v>7284</c:v>
                </c:pt>
              </c:numCache>
            </c:numRef>
          </c:val>
          <c:extLst>
            <c:ext xmlns:c16="http://schemas.microsoft.com/office/drawing/2014/chart" uri="{C3380CC4-5D6E-409C-BE32-E72D297353CC}">
              <c16:uniqueId val="{00000000-0FFF-4594-B41B-1DEE70EFACF5}"/>
            </c:ext>
          </c:extLst>
        </c:ser>
        <c:dLbls>
          <c:dLblPos val="outEnd"/>
          <c:showLegendKey val="0"/>
          <c:showVal val="1"/>
          <c:showCatName val="0"/>
          <c:showSerName val="0"/>
          <c:showPercent val="0"/>
          <c:showBubbleSize val="0"/>
        </c:dLbls>
        <c:gapWidth val="182"/>
        <c:axId val="1360964879"/>
        <c:axId val="1360977839"/>
      </c:barChart>
      <c:catAx>
        <c:axId val="136096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60977839"/>
        <c:crosses val="autoZero"/>
        <c:auto val="1"/>
        <c:lblAlgn val="ctr"/>
        <c:lblOffset val="100"/>
        <c:noMultiLvlLbl val="0"/>
      </c:catAx>
      <c:valAx>
        <c:axId val="1360977839"/>
        <c:scaling>
          <c:orientation val="minMax"/>
        </c:scaling>
        <c:delete val="1"/>
        <c:axPos val="b"/>
        <c:numFmt formatCode="General" sourceLinked="1"/>
        <c:majorTickMark val="none"/>
        <c:minorTickMark val="none"/>
        <c:tickLblPos val="nextTo"/>
        <c:crossAx val="136096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Tables!Salesman wise Sales</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 Sales by Salesperson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3D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rgbClr val="7B3D4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S1</c:v>
                </c:pt>
                <c:pt idx="1">
                  <c:v>S16</c:v>
                </c:pt>
                <c:pt idx="2">
                  <c:v>S18</c:v>
                </c:pt>
                <c:pt idx="3">
                  <c:v>S19</c:v>
                </c:pt>
                <c:pt idx="4">
                  <c:v>S2</c:v>
                </c:pt>
                <c:pt idx="5">
                  <c:v>S3</c:v>
                </c:pt>
                <c:pt idx="6">
                  <c:v>S4</c:v>
                </c:pt>
                <c:pt idx="7">
                  <c:v>S5</c:v>
                </c:pt>
                <c:pt idx="8">
                  <c:v>S6</c:v>
                </c:pt>
                <c:pt idx="9">
                  <c:v>S7</c:v>
                </c:pt>
              </c:strCache>
            </c:strRef>
          </c:cat>
          <c:val>
            <c:numRef>
              <c:f>'Pivot Tables'!$I$4:$I$14</c:f>
              <c:numCache>
                <c:formatCode>_ [$₹-4009]\ * #,##0_ ;_ [$₹-4009]\ * \-#,##0_ ;_ [$₹-4009]\ * "-"??_ ;_ @_ </c:formatCode>
                <c:ptCount val="10"/>
                <c:pt idx="0">
                  <c:v>38967786</c:v>
                </c:pt>
                <c:pt idx="1">
                  <c:v>72576757</c:v>
                </c:pt>
                <c:pt idx="2">
                  <c:v>37717662</c:v>
                </c:pt>
                <c:pt idx="3">
                  <c:v>57629493</c:v>
                </c:pt>
                <c:pt idx="4">
                  <c:v>42580986</c:v>
                </c:pt>
                <c:pt idx="5">
                  <c:v>64865878</c:v>
                </c:pt>
                <c:pt idx="6">
                  <c:v>73995198</c:v>
                </c:pt>
                <c:pt idx="7">
                  <c:v>27231268</c:v>
                </c:pt>
                <c:pt idx="8">
                  <c:v>37042006</c:v>
                </c:pt>
                <c:pt idx="9">
                  <c:v>29276824</c:v>
                </c:pt>
              </c:numCache>
            </c:numRef>
          </c:val>
          <c:extLst>
            <c:ext xmlns:c16="http://schemas.microsoft.com/office/drawing/2014/chart" uri="{C3380CC4-5D6E-409C-BE32-E72D297353CC}">
              <c16:uniqueId val="{00000000-052D-4305-ADDF-75BFC76D80B0}"/>
            </c:ext>
          </c:extLst>
        </c:ser>
        <c:dLbls>
          <c:dLblPos val="outEnd"/>
          <c:showLegendKey val="0"/>
          <c:showVal val="1"/>
          <c:showCatName val="0"/>
          <c:showSerName val="0"/>
          <c:showPercent val="0"/>
          <c:showBubbleSize val="0"/>
        </c:dLbls>
        <c:gapWidth val="219"/>
        <c:axId val="1360984559"/>
        <c:axId val="1360985039"/>
      </c:barChart>
      <c:catAx>
        <c:axId val="13609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0985039"/>
        <c:crosses val="autoZero"/>
        <c:auto val="1"/>
        <c:lblAlgn val="ctr"/>
        <c:lblOffset val="100"/>
        <c:noMultiLvlLbl val="0"/>
      </c:catAx>
      <c:valAx>
        <c:axId val="1360985039"/>
        <c:scaling>
          <c:orientation val="minMax"/>
        </c:scaling>
        <c:delete val="1"/>
        <c:axPos val="l"/>
        <c:numFmt formatCode="_ [$₹-4009]\ * #,##0_ ;_ [$₹-4009]\ * \-#,##0_ ;_ [$₹-4009]\ * &quot;-&quot;??_ ;_ @_ " sourceLinked="1"/>
        <c:majorTickMark val="none"/>
        <c:minorTickMark val="none"/>
        <c:tickLblPos val="nextTo"/>
        <c:crossAx val="136098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Engagement &amp; Sales Metrics Report 10716841657507.xlsx]Pivot Tables!Salesman wise Orders</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Total</a:t>
            </a:r>
            <a:r>
              <a:rPr lang="en-US" sz="1600" b="1" baseline="0">
                <a:solidFill>
                  <a:schemeClr val="tx1"/>
                </a:solidFill>
              </a:rPr>
              <a:t> Orders by Salesperson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Tables'!$K$4:$K$14</c:f>
              <c:strCache>
                <c:ptCount val="10"/>
                <c:pt idx="0">
                  <c:v>S1</c:v>
                </c:pt>
                <c:pt idx="1">
                  <c:v>S16</c:v>
                </c:pt>
                <c:pt idx="2">
                  <c:v>S18</c:v>
                </c:pt>
                <c:pt idx="3">
                  <c:v>S19</c:v>
                </c:pt>
                <c:pt idx="4">
                  <c:v>S2</c:v>
                </c:pt>
                <c:pt idx="5">
                  <c:v>S3</c:v>
                </c:pt>
                <c:pt idx="6">
                  <c:v>S4</c:v>
                </c:pt>
                <c:pt idx="7">
                  <c:v>S5</c:v>
                </c:pt>
                <c:pt idx="8">
                  <c:v>S6</c:v>
                </c:pt>
                <c:pt idx="9">
                  <c:v>S7</c:v>
                </c:pt>
              </c:strCache>
            </c:strRef>
          </c:cat>
          <c:val>
            <c:numRef>
              <c:f>'Pivot Tables'!$L$4:$L$14</c:f>
              <c:numCache>
                <c:formatCode>General</c:formatCode>
                <c:ptCount val="10"/>
                <c:pt idx="0">
                  <c:v>43679</c:v>
                </c:pt>
                <c:pt idx="1">
                  <c:v>58789</c:v>
                </c:pt>
                <c:pt idx="2">
                  <c:v>41414</c:v>
                </c:pt>
                <c:pt idx="3">
                  <c:v>51017</c:v>
                </c:pt>
                <c:pt idx="4">
                  <c:v>37434</c:v>
                </c:pt>
                <c:pt idx="5">
                  <c:v>55905</c:v>
                </c:pt>
                <c:pt idx="6">
                  <c:v>59480</c:v>
                </c:pt>
                <c:pt idx="7">
                  <c:v>32019</c:v>
                </c:pt>
                <c:pt idx="8">
                  <c:v>37544</c:v>
                </c:pt>
                <c:pt idx="9">
                  <c:v>31451</c:v>
                </c:pt>
              </c:numCache>
            </c:numRef>
          </c:val>
          <c:extLst>
            <c:ext xmlns:c16="http://schemas.microsoft.com/office/drawing/2014/chart" uri="{C3380CC4-5D6E-409C-BE32-E72D297353CC}">
              <c16:uniqueId val="{00000000-A88C-4E32-A06C-75241DA5D01D}"/>
            </c:ext>
          </c:extLst>
        </c:ser>
        <c:dLbls>
          <c:dLblPos val="outEnd"/>
          <c:showLegendKey val="0"/>
          <c:showVal val="1"/>
          <c:showCatName val="0"/>
          <c:showSerName val="0"/>
          <c:showPercent val="0"/>
          <c:showBubbleSize val="0"/>
        </c:dLbls>
        <c:gapWidth val="45"/>
        <c:axId val="1154377839"/>
        <c:axId val="1154395119"/>
      </c:barChart>
      <c:catAx>
        <c:axId val="115437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4395119"/>
        <c:crosses val="autoZero"/>
        <c:auto val="1"/>
        <c:lblAlgn val="ctr"/>
        <c:lblOffset val="100"/>
        <c:noMultiLvlLbl val="0"/>
      </c:catAx>
      <c:valAx>
        <c:axId val="1154395119"/>
        <c:scaling>
          <c:orientation val="minMax"/>
        </c:scaling>
        <c:delete val="1"/>
        <c:axPos val="b"/>
        <c:numFmt formatCode="General" sourceLinked="1"/>
        <c:majorTickMark val="none"/>
        <c:minorTickMark val="none"/>
        <c:tickLblPos val="nextTo"/>
        <c:crossAx val="115437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612266</xdr:colOff>
      <xdr:row>21</xdr:row>
      <xdr:rowOff>132551</xdr:rowOff>
    </xdr:from>
    <xdr:to>
      <xdr:col>11</xdr:col>
      <xdr:colOff>469638</xdr:colOff>
      <xdr:row>36</xdr:row>
      <xdr:rowOff>44135</xdr:rowOff>
    </xdr:to>
    <xdr:graphicFrame macro="">
      <xdr:nvGraphicFramePr>
        <xdr:cNvPr id="2" name="Chart 1">
          <a:extLst>
            <a:ext uri="{FF2B5EF4-FFF2-40B4-BE49-F238E27FC236}">
              <a16:creationId xmlns:a16="http://schemas.microsoft.com/office/drawing/2014/main" id="{16F183B1-AC91-4D70-BE95-A612BEC54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118304</xdr:colOff>
      <xdr:row>21</xdr:row>
      <xdr:rowOff>162167</xdr:rowOff>
    </xdr:from>
    <xdr:to>
      <xdr:col>25</xdr:col>
      <xdr:colOff>622137</xdr:colOff>
      <xdr:row>36</xdr:row>
      <xdr:rowOff>73001</xdr:rowOff>
    </xdr:to>
    <xdr:graphicFrame macro="">
      <xdr:nvGraphicFramePr>
        <xdr:cNvPr id="3" name="Chart 2">
          <a:extLst>
            <a:ext uri="{FF2B5EF4-FFF2-40B4-BE49-F238E27FC236}">
              <a16:creationId xmlns:a16="http://schemas.microsoft.com/office/drawing/2014/main" id="{4D3C64DB-1994-4287-BB0A-DAB67E43A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637735</xdr:colOff>
      <xdr:row>6</xdr:row>
      <xdr:rowOff>40627</xdr:rowOff>
    </xdr:from>
    <xdr:to>
      <xdr:col>11</xdr:col>
      <xdr:colOff>495107</xdr:colOff>
      <xdr:row>20</xdr:row>
      <xdr:rowOff>133065</xdr:rowOff>
    </xdr:to>
    <xdr:graphicFrame macro="">
      <xdr:nvGraphicFramePr>
        <xdr:cNvPr id="4" name="Chart 3">
          <a:extLst>
            <a:ext uri="{FF2B5EF4-FFF2-40B4-BE49-F238E27FC236}">
              <a16:creationId xmlns:a16="http://schemas.microsoft.com/office/drawing/2014/main" id="{FB1B3B37-4A2C-4CD8-B7AA-6A4B8CB9B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136019</xdr:colOff>
      <xdr:row>6</xdr:row>
      <xdr:rowOff>52298</xdr:rowOff>
    </xdr:from>
    <xdr:to>
      <xdr:col>25</xdr:col>
      <xdr:colOff>638192</xdr:colOff>
      <xdr:row>20</xdr:row>
      <xdr:rowOff>146246</xdr:rowOff>
    </xdr:to>
    <xdr:graphicFrame macro="">
      <xdr:nvGraphicFramePr>
        <xdr:cNvPr id="5" name="Chart 4">
          <a:extLst>
            <a:ext uri="{FF2B5EF4-FFF2-40B4-BE49-F238E27FC236}">
              <a16:creationId xmlns:a16="http://schemas.microsoft.com/office/drawing/2014/main" id="{A36C0B0C-DAA3-49CE-9ED8-35D1553CD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60284</xdr:colOff>
      <xdr:row>7</xdr:row>
      <xdr:rowOff>156741</xdr:rowOff>
    </xdr:from>
    <xdr:to>
      <xdr:col>16</xdr:col>
      <xdr:colOff>639018</xdr:colOff>
      <xdr:row>12</xdr:row>
      <xdr:rowOff>166869</xdr:rowOff>
    </xdr:to>
    <xdr:sp macro="" textlink="'Pivot Tables'!K18">
      <xdr:nvSpPr>
        <xdr:cNvPr id="6" name="Rectangle: Rounded Corners 5">
          <a:extLst>
            <a:ext uri="{FF2B5EF4-FFF2-40B4-BE49-F238E27FC236}">
              <a16:creationId xmlns:a16="http://schemas.microsoft.com/office/drawing/2014/main" id="{CF9A67AF-271C-B0D7-17C3-BCD2C06A733F}"/>
            </a:ext>
          </a:extLst>
        </xdr:cNvPr>
        <xdr:cNvSpPr/>
      </xdr:nvSpPr>
      <xdr:spPr>
        <a:xfrm>
          <a:off x="7800854" y="1422722"/>
          <a:ext cx="3158923" cy="914400"/>
        </a:xfrm>
        <a:prstGeom prst="roundRect">
          <a:avLst>
            <a:gd name="adj" fmla="val 1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16B820-829F-4640-A231-206804C697C9}" type="TxLink">
            <a:rPr lang="en-US" sz="2000" b="0" i="0" u="none" strike="noStrike" baseline="0">
              <a:solidFill>
                <a:srgbClr val="000000"/>
              </a:solidFill>
              <a:latin typeface="Aptos Narrow"/>
            </a:rPr>
            <a:pPr algn="ctr"/>
            <a:t>₹ 48,18,83,858</a:t>
          </a:fld>
          <a:endParaRPr lang="en-US" sz="2000" b="0" i="0" u="none" strike="noStrike" baseline="0">
            <a:solidFill>
              <a:srgbClr val="000000"/>
            </a:solidFill>
            <a:latin typeface="Aptos Narrow"/>
          </a:endParaRPr>
        </a:p>
        <a:p>
          <a:pPr algn="ctr"/>
          <a:r>
            <a:rPr lang="en-US" sz="2000" b="0" i="0" u="none" strike="noStrike" baseline="0">
              <a:solidFill>
                <a:srgbClr val="000000"/>
              </a:solidFill>
              <a:latin typeface="Aptos Narrow"/>
            </a:rPr>
            <a:t>Total Sales</a:t>
          </a:r>
        </a:p>
      </xdr:txBody>
    </xdr:sp>
    <xdr:clientData/>
  </xdr:twoCellAnchor>
  <xdr:twoCellAnchor>
    <xdr:from>
      <xdr:col>12</xdr:col>
      <xdr:colOff>30143</xdr:colOff>
      <xdr:row>18</xdr:row>
      <xdr:rowOff>78369</xdr:rowOff>
    </xdr:from>
    <xdr:to>
      <xdr:col>16</xdr:col>
      <xdr:colOff>608877</xdr:colOff>
      <xdr:row>23</xdr:row>
      <xdr:rowOff>88497</xdr:rowOff>
    </xdr:to>
    <xdr:sp macro="" textlink="'Pivot Tables'!K22">
      <xdr:nvSpPr>
        <xdr:cNvPr id="8" name="Rectangle: Rounded Corners 7">
          <a:extLst>
            <a:ext uri="{FF2B5EF4-FFF2-40B4-BE49-F238E27FC236}">
              <a16:creationId xmlns:a16="http://schemas.microsoft.com/office/drawing/2014/main" id="{FC20D77E-D156-424B-9C3E-B5C4D6F1BC40}"/>
            </a:ext>
          </a:extLst>
        </xdr:cNvPr>
        <xdr:cNvSpPr/>
      </xdr:nvSpPr>
      <xdr:spPr>
        <a:xfrm>
          <a:off x="7770713" y="3333749"/>
          <a:ext cx="3158923" cy="914400"/>
        </a:xfrm>
        <a:prstGeom prst="roundRect">
          <a:avLst>
            <a:gd name="adj" fmla="val 1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9EA535-D7A6-418C-A872-1A580553A8D8}" type="TxLink">
            <a:rPr lang="en-US" sz="2000" b="0" i="0" u="none" strike="noStrike" baseline="0">
              <a:solidFill>
                <a:srgbClr val="000000"/>
              </a:solidFill>
              <a:latin typeface="Aptos Narrow"/>
            </a:rPr>
            <a:pPr algn="ctr"/>
            <a:t> 4,48,732 </a:t>
          </a:fld>
          <a:endParaRPr lang="en-US" sz="2000" b="0" i="0" u="none" strike="noStrike" baseline="0">
            <a:solidFill>
              <a:srgbClr val="000000"/>
            </a:solidFill>
            <a:latin typeface="Aptos Narrow"/>
          </a:endParaRPr>
        </a:p>
        <a:p>
          <a:pPr algn="ctr"/>
          <a:r>
            <a:rPr lang="en-US" sz="2000" b="0" i="0" u="none" strike="noStrike" baseline="0">
              <a:solidFill>
                <a:srgbClr val="000000"/>
              </a:solidFill>
              <a:latin typeface="Aptos Narrow"/>
            </a:rPr>
            <a:t>Total Orders</a:t>
          </a:r>
          <a:endParaRPr lang="en-US" sz="4000" b="0" i="0" u="none" strike="noStrike" baseline="0">
            <a:solidFill>
              <a:srgbClr val="000000"/>
            </a:solidFill>
            <a:latin typeface="Aptos Narrow"/>
          </a:endParaRPr>
        </a:p>
      </xdr:txBody>
    </xdr:sp>
    <xdr:clientData/>
  </xdr:twoCellAnchor>
  <xdr:twoCellAnchor>
    <xdr:from>
      <xdr:col>12</xdr:col>
      <xdr:colOff>0</xdr:colOff>
      <xdr:row>29</xdr:row>
      <xdr:rowOff>126599</xdr:rowOff>
    </xdr:from>
    <xdr:to>
      <xdr:col>16</xdr:col>
      <xdr:colOff>578734</xdr:colOff>
      <xdr:row>34</xdr:row>
      <xdr:rowOff>136726</xdr:rowOff>
    </xdr:to>
    <xdr:sp macro="" textlink="'Pivot Tables'!M18">
      <xdr:nvSpPr>
        <xdr:cNvPr id="9" name="Rectangle: Rounded Corners 8">
          <a:extLst>
            <a:ext uri="{FF2B5EF4-FFF2-40B4-BE49-F238E27FC236}">
              <a16:creationId xmlns:a16="http://schemas.microsoft.com/office/drawing/2014/main" id="{0689C0E9-1221-49CE-8186-2FA190BAE7B3}"/>
            </a:ext>
          </a:extLst>
        </xdr:cNvPr>
        <xdr:cNvSpPr/>
      </xdr:nvSpPr>
      <xdr:spPr>
        <a:xfrm>
          <a:off x="7740570" y="5371377"/>
          <a:ext cx="3158923" cy="914400"/>
        </a:xfrm>
        <a:prstGeom prst="roundRect">
          <a:avLst>
            <a:gd name="adj" fmla="val 1666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878AB5-D2F6-4833-B212-B617221A83E9}" type="TxLink">
            <a:rPr lang="en-US" sz="2000" b="0" i="0" u="none" strike="noStrike" baseline="0">
              <a:solidFill>
                <a:srgbClr val="000000"/>
              </a:solidFill>
              <a:latin typeface="Aptos Narrow"/>
            </a:rPr>
            <a:pPr algn="ctr"/>
            <a:t>₹ 5,99,358</a:t>
          </a:fld>
          <a:endParaRPr lang="en-US" sz="2000" b="0" i="0" u="none" strike="noStrike" baseline="0">
            <a:solidFill>
              <a:srgbClr val="000000"/>
            </a:solidFill>
            <a:latin typeface="Aptos Narrow"/>
          </a:endParaRPr>
        </a:p>
        <a:p>
          <a:pPr algn="ctr"/>
          <a:r>
            <a:rPr lang="en-US" sz="2000" b="0" i="0" u="none" strike="noStrike" baseline="0">
              <a:solidFill>
                <a:srgbClr val="000000"/>
              </a:solidFill>
              <a:latin typeface="Aptos Narrow"/>
            </a:rPr>
            <a:t>Average Order Value</a:t>
          </a:r>
          <a:endParaRPr lang="en-US" sz="4000" b="0" i="0" u="none" strike="noStrike" baseline="0">
            <a:solidFill>
              <a:srgbClr val="000000"/>
            </a:solidFill>
            <a:latin typeface="Aptos Narrow"/>
          </a:endParaRPr>
        </a:p>
      </xdr:txBody>
    </xdr:sp>
    <xdr:clientData/>
  </xdr:twoCellAnchor>
  <xdr:twoCellAnchor editAs="oneCell">
    <xdr:from>
      <xdr:col>0</xdr:col>
      <xdr:colOff>253196</xdr:colOff>
      <xdr:row>8</xdr:row>
      <xdr:rowOff>30143</xdr:rowOff>
    </xdr:from>
    <xdr:to>
      <xdr:col>2</xdr:col>
      <xdr:colOff>409936</xdr:colOff>
      <xdr:row>16</xdr:row>
      <xdr:rowOff>114541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BA7AA525-1742-4C81-8C9C-72CD146604B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3196" y="1476978"/>
              <a:ext cx="1446835" cy="1531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241140</xdr:colOff>
      <xdr:row>19</xdr:row>
      <xdr:rowOff>24115</xdr:rowOff>
    </xdr:from>
    <xdr:to>
      <xdr:col>2</xdr:col>
      <xdr:colOff>385823</xdr:colOff>
      <xdr:row>35</xdr:row>
      <xdr:rowOff>36172</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89A4893B-7D1A-4EA3-9955-BBE9E7A72FD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1140" y="3460349"/>
              <a:ext cx="1434778" cy="2905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247168</xdr:colOff>
      <xdr:row>0</xdr:row>
      <xdr:rowOff>168797</xdr:rowOff>
    </xdr:from>
    <xdr:to>
      <xdr:col>25</xdr:col>
      <xdr:colOff>639019</xdr:colOff>
      <xdr:row>5</xdr:row>
      <xdr:rowOff>120571</xdr:rowOff>
    </xdr:to>
    <xdr:sp macro="" textlink="">
      <xdr:nvSpPr>
        <xdr:cNvPr id="14" name="Rectangle: Rounded Corners 13">
          <a:extLst>
            <a:ext uri="{FF2B5EF4-FFF2-40B4-BE49-F238E27FC236}">
              <a16:creationId xmlns:a16="http://schemas.microsoft.com/office/drawing/2014/main" id="{7DAF75A7-E765-B617-6C05-DA0C090ADDAD}"/>
            </a:ext>
          </a:extLst>
        </xdr:cNvPr>
        <xdr:cNvSpPr/>
      </xdr:nvSpPr>
      <xdr:spPr>
        <a:xfrm>
          <a:off x="247168" y="168797"/>
          <a:ext cx="16518038" cy="856046"/>
        </a:xfrm>
        <a:prstGeom prst="roundRect">
          <a:avLst>
            <a:gd name="adj" fmla="val 5000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a:solidFill>
                <a:schemeClr val="tx1"/>
              </a:solidFill>
            </a:rPr>
            <a:t>ABC Ltd.  Sales Performance Dashboard </a:t>
          </a:r>
        </a:p>
      </xdr:txBody>
    </xdr:sp>
    <xdr:clientData/>
  </xdr:twoCellAnchor>
  <xdr:twoCellAnchor editAs="oneCell">
    <xdr:from>
      <xdr:col>20</xdr:col>
      <xdr:colOff>114543</xdr:colOff>
      <xdr:row>1</xdr:row>
      <xdr:rowOff>132626</xdr:rowOff>
    </xdr:from>
    <xdr:to>
      <xdr:col>21</xdr:col>
      <xdr:colOff>126599</xdr:colOff>
      <xdr:row>5</xdr:row>
      <xdr:rowOff>66312</xdr:rowOff>
    </xdr:to>
    <xdr:pic>
      <xdr:nvPicPr>
        <xdr:cNvPr id="16" name="Graphic 15" descr="List with solid fill">
          <a:extLst>
            <a:ext uri="{FF2B5EF4-FFF2-40B4-BE49-F238E27FC236}">
              <a16:creationId xmlns:a16="http://schemas.microsoft.com/office/drawing/2014/main" id="{0CA4DDFF-7952-2173-BDB9-7BB5D50BB7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015492" y="313480"/>
          <a:ext cx="657104" cy="6571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531203</xdr:colOff>
      <xdr:row>6</xdr:row>
      <xdr:rowOff>122114</xdr:rowOff>
    </xdr:from>
    <xdr:to>
      <xdr:col>11</xdr:col>
      <xdr:colOff>369099</xdr:colOff>
      <xdr:row>20</xdr:row>
      <xdr:rowOff>182090</xdr:rowOff>
    </xdr:to>
    <xdr:graphicFrame macro="">
      <xdr:nvGraphicFramePr>
        <xdr:cNvPr id="2" name="Chart 1">
          <a:extLst>
            <a:ext uri="{FF2B5EF4-FFF2-40B4-BE49-F238E27FC236}">
              <a16:creationId xmlns:a16="http://schemas.microsoft.com/office/drawing/2014/main" id="{C1D4300D-7206-495E-A17D-725C7476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67162</xdr:colOff>
      <xdr:row>6</xdr:row>
      <xdr:rowOff>97692</xdr:rowOff>
    </xdr:from>
    <xdr:to>
      <xdr:col>25</xdr:col>
      <xdr:colOff>552270</xdr:colOff>
      <xdr:row>20</xdr:row>
      <xdr:rowOff>157668</xdr:rowOff>
    </xdr:to>
    <xdr:graphicFrame macro="">
      <xdr:nvGraphicFramePr>
        <xdr:cNvPr id="3" name="Chart 2">
          <a:extLst>
            <a:ext uri="{FF2B5EF4-FFF2-40B4-BE49-F238E27FC236}">
              <a16:creationId xmlns:a16="http://schemas.microsoft.com/office/drawing/2014/main" id="{E9E14DB3-F65E-4AFA-9A8A-F5C79C397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525097</xdr:colOff>
      <xdr:row>21</xdr:row>
      <xdr:rowOff>170961</xdr:rowOff>
    </xdr:from>
    <xdr:to>
      <xdr:col>11</xdr:col>
      <xdr:colOff>362993</xdr:colOff>
      <xdr:row>36</xdr:row>
      <xdr:rowOff>47765</xdr:rowOff>
    </xdr:to>
    <xdr:graphicFrame macro="">
      <xdr:nvGraphicFramePr>
        <xdr:cNvPr id="4" name="Chart 3">
          <a:extLst>
            <a:ext uri="{FF2B5EF4-FFF2-40B4-BE49-F238E27FC236}">
              <a16:creationId xmlns:a16="http://schemas.microsoft.com/office/drawing/2014/main" id="{08A0869A-D13B-4C60-BAC8-17228D81E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48846</xdr:colOff>
      <xdr:row>21</xdr:row>
      <xdr:rowOff>152644</xdr:rowOff>
    </xdr:from>
    <xdr:to>
      <xdr:col>25</xdr:col>
      <xdr:colOff>533954</xdr:colOff>
      <xdr:row>36</xdr:row>
      <xdr:rowOff>29448</xdr:rowOff>
    </xdr:to>
    <xdr:graphicFrame macro="">
      <xdr:nvGraphicFramePr>
        <xdr:cNvPr id="5" name="Chart 4">
          <a:extLst>
            <a:ext uri="{FF2B5EF4-FFF2-40B4-BE49-F238E27FC236}">
              <a16:creationId xmlns:a16="http://schemas.microsoft.com/office/drawing/2014/main" id="{86D8F996-9CF1-4E5C-B61B-384E7CDEC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604473</xdr:colOff>
      <xdr:row>8</xdr:row>
      <xdr:rowOff>177066</xdr:rowOff>
    </xdr:from>
    <xdr:to>
      <xdr:col>16</xdr:col>
      <xdr:colOff>512885</xdr:colOff>
      <xdr:row>14</xdr:row>
      <xdr:rowOff>48846</xdr:rowOff>
    </xdr:to>
    <xdr:sp macro="" textlink="'Pivot Tables'!K18">
      <xdr:nvSpPr>
        <xdr:cNvPr id="6" name="Rectangle: Rounded Corners 5">
          <a:extLst>
            <a:ext uri="{FF2B5EF4-FFF2-40B4-BE49-F238E27FC236}">
              <a16:creationId xmlns:a16="http://schemas.microsoft.com/office/drawing/2014/main" id="{ACE5EAE2-D9E8-D6B8-61E6-906E9E63A425}"/>
            </a:ext>
          </a:extLst>
        </xdr:cNvPr>
        <xdr:cNvSpPr/>
      </xdr:nvSpPr>
      <xdr:spPr>
        <a:xfrm>
          <a:off x="7723800" y="1642451"/>
          <a:ext cx="3144470" cy="970818"/>
        </a:xfrm>
        <a:prstGeom prst="roundRect">
          <a:avLst>
            <a:gd name="adj" fmla="val 141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5786FE-5CA3-4458-AE4D-4FF112B459F3}" type="TxLink">
            <a:rPr lang="en-US" sz="2400" b="0" i="0" u="none" strike="noStrike">
              <a:solidFill>
                <a:srgbClr val="000000"/>
              </a:solidFill>
              <a:latin typeface="Aptos Narrow"/>
            </a:rPr>
            <a:pPr algn="ctr"/>
            <a:t>₹ 48,18,83,858</a:t>
          </a:fld>
          <a:endParaRPr lang="en-US" sz="2400" b="0" i="0" u="none" strike="noStrike">
            <a:solidFill>
              <a:srgbClr val="000000"/>
            </a:solidFill>
            <a:latin typeface="Aptos Narrow"/>
          </a:endParaRPr>
        </a:p>
        <a:p>
          <a:pPr algn="ctr"/>
          <a:r>
            <a:rPr lang="en-US" sz="2400" b="0" i="0" u="none" strike="noStrike">
              <a:solidFill>
                <a:srgbClr val="000000"/>
              </a:solidFill>
              <a:latin typeface="Aptos Narrow"/>
            </a:rPr>
            <a:t>Total Sales</a:t>
          </a:r>
          <a:endParaRPr lang="en-IN" sz="2400"/>
        </a:p>
      </xdr:txBody>
    </xdr:sp>
    <xdr:clientData/>
  </xdr:twoCellAnchor>
  <xdr:twoCellAnchor>
    <xdr:from>
      <xdr:col>11</xdr:col>
      <xdr:colOff>567836</xdr:colOff>
      <xdr:row>19</xdr:row>
      <xdr:rowOff>30527</xdr:rowOff>
    </xdr:from>
    <xdr:to>
      <xdr:col>16</xdr:col>
      <xdr:colOff>476248</xdr:colOff>
      <xdr:row>24</xdr:row>
      <xdr:rowOff>85479</xdr:rowOff>
    </xdr:to>
    <xdr:sp macro="" textlink="'Pivot Tables'!K22">
      <xdr:nvSpPr>
        <xdr:cNvPr id="9" name="Rectangle: Rounded Corners 8">
          <a:extLst>
            <a:ext uri="{FF2B5EF4-FFF2-40B4-BE49-F238E27FC236}">
              <a16:creationId xmlns:a16="http://schemas.microsoft.com/office/drawing/2014/main" id="{B85F6D5B-59E6-46D5-84F1-5B17A6D30450}"/>
            </a:ext>
          </a:extLst>
        </xdr:cNvPr>
        <xdr:cNvSpPr/>
      </xdr:nvSpPr>
      <xdr:spPr>
        <a:xfrm>
          <a:off x="7687163" y="3510815"/>
          <a:ext cx="3144470" cy="970818"/>
        </a:xfrm>
        <a:prstGeom prst="roundRect">
          <a:avLst>
            <a:gd name="adj" fmla="val 141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2D3023-08E4-481C-8AEE-C22E237905D7}" type="TxLink">
            <a:rPr lang="en-US" sz="2400" b="0" i="0" u="none" strike="noStrike">
              <a:solidFill>
                <a:srgbClr val="000000"/>
              </a:solidFill>
              <a:latin typeface="Aptos Narrow"/>
            </a:rPr>
            <a:pPr algn="ctr"/>
            <a:t> 4,48,732 </a:t>
          </a:fld>
          <a:endParaRPr lang="en-US" sz="2400" b="0" i="0" u="none" strike="noStrike">
            <a:solidFill>
              <a:srgbClr val="000000"/>
            </a:solidFill>
            <a:latin typeface="Aptos Narrow"/>
          </a:endParaRPr>
        </a:p>
        <a:p>
          <a:pPr algn="ctr"/>
          <a:r>
            <a:rPr lang="en-US" sz="2400" b="0" i="0" u="none" strike="noStrike">
              <a:solidFill>
                <a:srgbClr val="000000"/>
              </a:solidFill>
              <a:latin typeface="Aptos Narrow"/>
            </a:rPr>
            <a:t>Total Orders</a:t>
          </a:r>
          <a:endParaRPr lang="en-US" sz="4400" b="0" i="0" u="none" strike="noStrike">
            <a:solidFill>
              <a:srgbClr val="000000"/>
            </a:solidFill>
            <a:latin typeface="Aptos Narrow"/>
          </a:endParaRPr>
        </a:p>
      </xdr:txBody>
    </xdr:sp>
    <xdr:clientData/>
  </xdr:twoCellAnchor>
  <xdr:twoCellAnchor>
    <xdr:from>
      <xdr:col>11</xdr:col>
      <xdr:colOff>555381</xdr:colOff>
      <xdr:row>29</xdr:row>
      <xdr:rowOff>164612</xdr:rowOff>
    </xdr:from>
    <xdr:to>
      <xdr:col>16</xdr:col>
      <xdr:colOff>463793</xdr:colOff>
      <xdr:row>35</xdr:row>
      <xdr:rowOff>36391</xdr:rowOff>
    </xdr:to>
    <xdr:sp macro="" textlink="'Pivot Tables'!M18">
      <xdr:nvSpPr>
        <xdr:cNvPr id="10" name="Rectangle: Rounded Corners 9">
          <a:extLst>
            <a:ext uri="{FF2B5EF4-FFF2-40B4-BE49-F238E27FC236}">
              <a16:creationId xmlns:a16="http://schemas.microsoft.com/office/drawing/2014/main" id="{B971AC3F-9250-4A68-9540-AEAFF83712E2}"/>
            </a:ext>
          </a:extLst>
        </xdr:cNvPr>
        <xdr:cNvSpPr/>
      </xdr:nvSpPr>
      <xdr:spPr>
        <a:xfrm>
          <a:off x="7674708" y="5476631"/>
          <a:ext cx="3144470" cy="970818"/>
        </a:xfrm>
        <a:prstGeom prst="roundRect">
          <a:avLst>
            <a:gd name="adj" fmla="val 1415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949DE8-6384-4A42-9D7E-A2FF5584E9FE}" type="TxLink">
            <a:rPr lang="en-US" sz="2400" b="0" i="0" u="none" strike="noStrike">
              <a:solidFill>
                <a:srgbClr val="000000"/>
              </a:solidFill>
              <a:latin typeface="Aptos Narrow"/>
            </a:rPr>
            <a:pPr algn="ctr"/>
            <a:t>₹ 5,99,358</a:t>
          </a:fld>
          <a:endParaRPr lang="en-US" sz="2400" b="0" i="0" u="none" strike="noStrike">
            <a:solidFill>
              <a:srgbClr val="000000"/>
            </a:solidFill>
            <a:latin typeface="Aptos Narrow"/>
          </a:endParaRPr>
        </a:p>
        <a:p>
          <a:pPr algn="ctr"/>
          <a:r>
            <a:rPr lang="en-US" sz="2400" b="0" i="0" u="none" strike="noStrike">
              <a:solidFill>
                <a:srgbClr val="000000"/>
              </a:solidFill>
              <a:latin typeface="Aptos Narrow"/>
            </a:rPr>
            <a:t>Average Order Value</a:t>
          </a:r>
          <a:endParaRPr lang="en-US" sz="4400" b="0" i="0" u="none" strike="noStrike">
            <a:solidFill>
              <a:srgbClr val="000000"/>
            </a:solidFill>
            <a:latin typeface="Aptos Narrow"/>
          </a:endParaRPr>
        </a:p>
      </xdr:txBody>
    </xdr:sp>
    <xdr:clientData/>
  </xdr:twoCellAnchor>
  <xdr:twoCellAnchor editAs="oneCell">
    <xdr:from>
      <xdr:col>0</xdr:col>
      <xdr:colOff>140433</xdr:colOff>
      <xdr:row>12</xdr:row>
      <xdr:rowOff>134328</xdr:rowOff>
    </xdr:from>
    <xdr:to>
      <xdr:col>2</xdr:col>
      <xdr:colOff>378558</xdr:colOff>
      <xdr:row>30</xdr:row>
      <xdr:rowOff>36637</xdr:rowOff>
    </xdr:to>
    <mc:AlternateContent xmlns:mc="http://schemas.openxmlformats.org/markup-compatibility/2006" xmlns:a14="http://schemas.microsoft.com/office/drawing/2010/main">
      <mc:Choice Requires="a14">
        <xdr:graphicFrame macro="">
          <xdr:nvGraphicFramePr>
            <xdr:cNvPr id="11" name="Salesperson Id">
              <a:extLst>
                <a:ext uri="{FF2B5EF4-FFF2-40B4-BE49-F238E27FC236}">
                  <a16:creationId xmlns:a16="http://schemas.microsoft.com/office/drawing/2014/main" id="{CC754083-BF14-4C2B-B718-710E84192ACB}"/>
                </a:ext>
              </a:extLst>
            </xdr:cNvPr>
            <xdr:cNvGraphicFramePr/>
          </xdr:nvGraphicFramePr>
          <xdr:xfrm>
            <a:off x="0" y="0"/>
            <a:ext cx="0" cy="0"/>
          </xdr:xfrm>
          <a:graphic>
            <a:graphicData uri="http://schemas.microsoft.com/office/drawing/2010/slicer">
              <sle:slicer xmlns:sle="http://schemas.microsoft.com/office/drawing/2010/slicer" name="Salesperson Id"/>
            </a:graphicData>
          </a:graphic>
        </xdr:graphicFrame>
      </mc:Choice>
      <mc:Fallback xmlns="">
        <xdr:sp macro="" textlink="">
          <xdr:nvSpPr>
            <xdr:cNvPr id="0" name=""/>
            <xdr:cNvSpPr>
              <a:spLocks noTextEdit="1"/>
            </xdr:cNvSpPr>
          </xdr:nvSpPr>
          <xdr:spPr>
            <a:xfrm>
              <a:off x="140433" y="2332405"/>
              <a:ext cx="1532548" cy="3199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274758</xdr:colOff>
      <xdr:row>1</xdr:row>
      <xdr:rowOff>0</xdr:rowOff>
    </xdr:from>
    <xdr:to>
      <xdr:col>26</xdr:col>
      <xdr:colOff>323605</xdr:colOff>
      <xdr:row>5</xdr:row>
      <xdr:rowOff>123354</xdr:rowOff>
    </xdr:to>
    <xdr:sp macro="" textlink="">
      <xdr:nvSpPr>
        <xdr:cNvPr id="12" name="Rectangle: Rounded Corners 11">
          <a:extLst>
            <a:ext uri="{FF2B5EF4-FFF2-40B4-BE49-F238E27FC236}">
              <a16:creationId xmlns:a16="http://schemas.microsoft.com/office/drawing/2014/main" id="{D0A761B3-BA7B-48C0-9B77-36140FE1BA0D}"/>
            </a:ext>
          </a:extLst>
        </xdr:cNvPr>
        <xdr:cNvSpPr/>
      </xdr:nvSpPr>
      <xdr:spPr>
        <a:xfrm>
          <a:off x="274758" y="183173"/>
          <a:ext cx="16876347" cy="856046"/>
        </a:xfrm>
        <a:prstGeom prst="roundRect">
          <a:avLst>
            <a:gd name="adj" fmla="val 5000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tx1"/>
              </a:solidFill>
            </a:rPr>
            <a:t>ABC Ltd. Customer</a:t>
          </a:r>
          <a:r>
            <a:rPr lang="en-IN" sz="4000" baseline="0">
              <a:solidFill>
                <a:schemeClr val="tx1"/>
              </a:solidFill>
            </a:rPr>
            <a:t> and Sales Performance Dashboard</a:t>
          </a:r>
          <a:r>
            <a:rPr lang="en-IN" sz="4000">
              <a:solidFill>
                <a:schemeClr val="tx1"/>
              </a:solidFill>
            </a:rPr>
            <a:t> </a:t>
          </a:r>
        </a:p>
      </xdr:txBody>
    </xdr:sp>
    <xdr:clientData/>
  </xdr:twoCellAnchor>
  <xdr:twoCellAnchor editAs="oneCell">
    <xdr:from>
      <xdr:col>22</xdr:col>
      <xdr:colOff>0</xdr:colOff>
      <xdr:row>1</xdr:row>
      <xdr:rowOff>48846</xdr:rowOff>
    </xdr:from>
    <xdr:to>
      <xdr:col>23</xdr:col>
      <xdr:colOff>18318</xdr:colOff>
      <xdr:row>4</xdr:row>
      <xdr:rowOff>164856</xdr:rowOff>
    </xdr:to>
    <xdr:pic>
      <xdr:nvPicPr>
        <xdr:cNvPr id="14" name="Graphic 13" descr="Target Audience with solid fill">
          <a:extLst>
            <a:ext uri="{FF2B5EF4-FFF2-40B4-BE49-F238E27FC236}">
              <a16:creationId xmlns:a16="http://schemas.microsoft.com/office/drawing/2014/main" id="{80DCCA3D-C24B-286E-58C5-F7280EBA0B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238654" y="232019"/>
          <a:ext cx="665529" cy="665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422454</xdr:colOff>
      <xdr:row>1</xdr:row>
      <xdr:rowOff>50514</xdr:rowOff>
    </xdr:from>
    <xdr:to>
      <xdr:col>4</xdr:col>
      <xdr:colOff>1822888</xdr:colOff>
      <xdr:row>4</xdr:row>
      <xdr:rowOff>191145</xdr:rowOff>
    </xdr:to>
    <xdr:sp macro="" textlink="">
      <xdr:nvSpPr>
        <xdr:cNvPr id="2" name="Rectangle: Rounded Corners 1">
          <a:extLst>
            <a:ext uri="{FF2B5EF4-FFF2-40B4-BE49-F238E27FC236}">
              <a16:creationId xmlns:a16="http://schemas.microsoft.com/office/drawing/2014/main" id="{824FDD8C-3060-4E27-BCA7-2BC21AB78036}"/>
            </a:ext>
          </a:extLst>
        </xdr:cNvPr>
        <xdr:cNvSpPr/>
      </xdr:nvSpPr>
      <xdr:spPr>
        <a:xfrm>
          <a:off x="5048101" y="253058"/>
          <a:ext cx="4263408" cy="748259"/>
        </a:xfrm>
        <a:prstGeom prst="roundRect">
          <a:avLst>
            <a:gd name="adj" fmla="val 33402"/>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aseline="0">
              <a:solidFill>
                <a:schemeClr val="tx1"/>
              </a:solidFill>
            </a:rPr>
            <a:t>Insight Summary</a:t>
          </a:r>
          <a:endParaRPr lang="en-IN" sz="36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3472224" backgroundQuery="1" createdVersion="8" refreshedVersion="8" minRefreshableVersion="3" recordCount="0" supportSubquery="1" supportAdvancedDrill="1" xr:uid="{86603F5C-C91E-4D5E-BB55-B1E3322C12E5}">
  <cacheSource type="external" connectionId="2"/>
  <cacheFields count="2">
    <cacheField name="[Table1_1].[Year].[Year]" caption="Year" numFmtId="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_1].[Year].&amp;[2021]"/>
            <x15:cachedUniqueName index="1" name="[Table1_1].[Year].&amp;[2022]"/>
            <x15:cachedUniqueName index="2" name="[Table1_1].[Year].&amp;[2023]"/>
            <x15:cachedUniqueName index="3" name="[Table1_1].[Year].&amp;[2024]"/>
          </x15:cachedUniqueNames>
        </ext>
      </extLst>
    </cacheField>
    <cacheField name="[Measures].[Sum of Sales]" caption="Sum of Sales" numFmtId="0" hierarchy="7" level="32767"/>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0"/>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oneField="1">
      <fieldsUsage count="1">
        <fieldUsage x="1"/>
      </fieldsUsage>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416667" backgroundQuery="1" createdVersion="8" refreshedVersion="8" minRefreshableVersion="3" recordCount="0" supportSubquery="1" supportAdvancedDrill="1" xr:uid="{0B04BEF6-F405-48CB-ADF8-2B5394E6031F}">
  <cacheSource type="external" connectionId="2"/>
  <cacheFields count="3">
    <cacheField name="[Table1_1].[Year].[Year]" caption="Year" numFmtId="0"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_1].[Year].&amp;[2021]"/>
            <x15:cachedUniqueName index="1" name="[Table1_1].[Year].&amp;[2022]"/>
            <x15:cachedUniqueName index="2" name="[Table1_1].[Year].&amp;[2023]"/>
            <x15:cachedUniqueName index="3" name="[Table1_1].[Year].&amp;[2024]"/>
          </x15:cachedUniqueNames>
        </ext>
      </extLst>
    </cacheField>
    <cacheField name="[Measures].[Sum of Offers]" caption="Sum of Offers" numFmtId="0" hierarchy="8" level="32767"/>
    <cacheField name="[Measures].[Sum of Orders]" caption="Sum of Orders" numFmtId="0" hierarchy="9" level="32767"/>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0"/>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oneField="1">
      <fieldsUsage count="1">
        <fieldUsage x="1"/>
      </fieldsUsage>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oneField="1">
      <fieldsUsage count="1">
        <fieldUsage x="2"/>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4745371" backgroundQuery="1" createdVersion="8" refreshedVersion="8" minRefreshableVersion="3" recordCount="0" supportSubquery="1" supportAdvancedDrill="1" xr:uid="{508DBF14-51D8-4A2F-A41C-E16CC0A49237}">
  <cacheSource type="external" connectionId="2"/>
  <cacheFields count="3">
    <cacheField name="[Table1_1].[Product].[Product]" caption="Product" numFmtId="0" hierarchy="5" level="1">
      <sharedItems count="9">
        <s v="P1"/>
        <s v="P11"/>
        <s v="P2"/>
        <s v="P24"/>
        <s v="P3"/>
        <s v="P34"/>
        <s v="P4"/>
        <s v="P6"/>
        <s v="P9"/>
      </sharedItems>
    </cacheField>
    <cacheField name="[Measures].[Sum of Sales]" caption="Sum of Sales" numFmtId="0" hierarchy="7"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2"/>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fieldsUsage count="2">
        <fieldUsage x="-1"/>
        <fieldUsage x="0"/>
      </fieldsUsage>
    </cacheHierarchy>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oneField="1">
      <fieldsUsage count="1">
        <fieldUsage x="1"/>
      </fieldsUsage>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5324071" backgroundQuery="1" createdVersion="8" refreshedVersion="8" minRefreshableVersion="3" recordCount="0" supportSubquery="1" supportAdvancedDrill="1" xr:uid="{1FC04C7C-FC9C-4D3B-BB8E-607D15E3F0C2}">
  <cacheSource type="external" connectionId="2"/>
  <cacheFields count="4">
    <cacheField name="[Table1_1].[Customer Id].[Customer Id]" caption="Customer Id" numFmtId="0" hierarchy="4" level="1">
      <sharedItems count="5">
        <s v="C126"/>
        <s v="C158"/>
        <s v="C40"/>
        <s v="C5"/>
        <s v="C91"/>
      </sharedItems>
    </cacheField>
    <cacheField name="[Measures].[Sum of Orders]" caption="Sum of Orders" numFmtId="0" hierarchy="9" level="32767"/>
    <cacheField name="[Table1_1].[Product].[Product]" caption="Product" numFmtId="0" hierarchy="5" level="1">
      <sharedItems count="9">
        <s v="P1"/>
        <s v="P11"/>
        <s v="P2"/>
        <s v="P24"/>
        <s v="P3"/>
        <s v="P34"/>
        <s v="P4"/>
        <s v="P6"/>
        <s v="P9"/>
      </sharedItems>
    </cacheField>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3"/>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fieldsUsage count="2">
        <fieldUsage x="-1"/>
        <fieldUsage x="2"/>
      </fieldsUsage>
    </cacheHierarchy>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oneField="1">
      <fieldsUsage count="1">
        <fieldUsage x="1"/>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5671295" backgroundQuery="1" createdVersion="8" refreshedVersion="8" minRefreshableVersion="3" recordCount="0" supportSubquery="1" supportAdvancedDrill="1" xr:uid="{19FCF199-19F3-401D-A0FD-31192184FC15}">
  <cacheSource type="external" connectionId="2"/>
  <cacheFields count="2">
    <cacheField name="[Measures].[Sum of Orders]" caption="Sum of Orders" numFmtId="0" hierarchy="9"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1"/>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oneField="1">
      <fieldsUsage count="1">
        <fieldUsage x="0"/>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6134257" backgroundQuery="1" createdVersion="8" refreshedVersion="8" minRefreshableVersion="3" recordCount="0" supportSubquery="1" supportAdvancedDrill="1" xr:uid="{E4B77B04-0A85-4C9D-814C-9D1E35939780}">
  <cacheSource type="external" connectionId="2"/>
  <cacheFields count="2">
    <cacheField name="[Measures].[Average Order Value]" caption="Average Order Value" numFmtId="0" hierarchy="12"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1"/>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oneField="1">
      <fieldsUsage count="1">
        <fieldUsage x="0"/>
      </fieldsUsage>
    </cacheHierarchy>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6712964" backgroundQuery="1" createdVersion="8" refreshedVersion="8" minRefreshableVersion="3" recordCount="0" supportSubquery="1" supportAdvancedDrill="1" xr:uid="{41AA9545-9581-44B0-AC99-1879BF245238}">
  <cacheSource type="external" connectionId="2"/>
  <cacheFields count="3">
    <cacheField name="[Table1_1].[Customer Id].[Customer Id]" caption="Customer Id" numFmtId="0" hierarchy="4" level="1">
      <sharedItems count="5">
        <s v="C162"/>
        <s v="C198"/>
        <s v="C54"/>
        <s v="C83"/>
        <s v="C91"/>
      </sharedItems>
    </cacheField>
    <cacheField name="[Measures].[Sum of Sales]" caption="Sum of Sales" numFmtId="0" hierarchy="7"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2"/>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2" memberValueDatatype="20" unbalanced="0"/>
    <cacheHierarchy uniqueName="[Table1_1].[Orders]" caption="Orders" attribute="1" defaultMemberUniqueName="[Table1_1].[Orders].[All]" allUniqueName="[Table1_1].[Orders].[All]" dimensionUniqueName="[Table1_1]" displayFolder="" count="2" memberValueDatatype="20" unbalanced="0"/>
    <cacheHierarchy uniqueName="[Table1_1].[Customer Id]" caption="Customer Id" attribute="1" defaultMemberUniqueName="[Table1_1].[Customer Id].[All]" allUniqueName="[Table1_1].[Customer Id].[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20" unbalanced="0"/>
    <cacheHierarchy uniqueName="[Measures].[Sum of Sales]" caption="Sum of Sales" measure="1" displayFolder="" measureGroup="Table1_1" count="0" oneField="1">
      <fieldsUsage count="1">
        <fieldUsage x="1"/>
      </fieldsUsage>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7291665" backgroundQuery="1" createdVersion="8" refreshedVersion="8" minRefreshableVersion="3" recordCount="0" supportSubquery="1" supportAdvancedDrill="1" xr:uid="{51D9C4C6-C88F-4D39-B74E-2ED57AA5C203}">
  <cacheSource type="external" connectionId="2"/>
  <cacheFields count="3">
    <cacheField name="[Table1_1].[Customer Id].[Customer Id]" caption="Customer Id" numFmtId="0" hierarchy="4" level="1">
      <sharedItems count="5">
        <s v="C126"/>
        <s v="C158"/>
        <s v="C40"/>
        <s v="C5"/>
        <s v="C91"/>
      </sharedItems>
    </cacheField>
    <cacheField name="[Measures].[Sum of Orders]" caption="Sum of Orders" numFmtId="0" hierarchy="9"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2"/>
      </fieldsUsage>
    </cacheHierarchy>
    <cacheHierarchy uniqueName="[Table1_1].[Salesperson Id]" caption="Salesperson Id" attribute="1" defaultMemberUniqueName="[Table1_1].[Salesperson Id].[All]" allUniqueName="[Table1_1].[Salesperson Id].[All]" dimensionUniqueName="[Table1_1]" displayFolder="" count="0"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oneField="1">
      <fieldsUsage count="1">
        <fieldUsage x="1"/>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7870373" backgroundQuery="1" createdVersion="8" refreshedVersion="8" minRefreshableVersion="3" recordCount="0" supportSubquery="1" supportAdvancedDrill="1" xr:uid="{85FAA11F-7EF5-4602-9C47-A1D914685E6B}">
  <cacheSource type="external" connectionId="2"/>
  <cacheFields count="3">
    <cacheField name="[Table1_1].[Salesperson Id].[Salesperson Id]" caption="Salesperson Id" numFmtId="0" hierarchy="1" level="1">
      <sharedItems count="10">
        <s v="S1"/>
        <s v="S16"/>
        <s v="S18"/>
        <s v="S19"/>
        <s v="S2"/>
        <s v="S3"/>
        <s v="S4"/>
        <s v="S5"/>
        <s v="S6"/>
        <s v="S7"/>
      </sharedItems>
    </cacheField>
    <cacheField name="[Measures].[Sum of Sales]" caption="Sum of Sales" numFmtId="0" hierarchy="7"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2"/>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fieldsUsage count="2">
        <fieldUsage x="-1"/>
        <fieldUsage x="0"/>
      </fieldsUsage>
    </cacheHierarchy>
    <cacheHierarchy uniqueName="[Table1_1].[Offers]" caption="Offers" attribute="1" defaultMemberUniqueName="[Table1_1].[Offers].[All]" allUniqueName="[Table1_1].[Offers].[All]" dimensionUniqueName="[Table1_1]" displayFolder="" count="2" memberValueDatatype="20" unbalanced="0"/>
    <cacheHierarchy uniqueName="[Table1_1].[Orders]" caption="Orders" attribute="1" defaultMemberUniqueName="[Table1_1].[Orders].[All]" allUniqueName="[Table1_1].[Orders].[All]" dimensionUniqueName="[Table1_1]" displayFolder="" count="2" memberValueDatatype="2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20" unbalanced="0"/>
    <cacheHierarchy uniqueName="[Measures].[Sum of Sales]" caption="Sum of Sales" measure="1" displayFolder="" measureGroup="Table1_1" count="0" oneField="1">
      <fieldsUsage count="1">
        <fieldUsage x="1"/>
      </fieldsUsage>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8333335" backgroundQuery="1" createdVersion="8" refreshedVersion="8" minRefreshableVersion="3" recordCount="0" supportSubquery="1" supportAdvancedDrill="1" xr:uid="{408B5AB5-4BF4-4474-A149-E93D1B96EA1D}">
  <cacheSource type="external" connectionId="2"/>
  <cacheFields count="4">
    <cacheField name="[Table1_1].[Customer Id].[Customer Id]" caption="Customer Id" numFmtId="0" hierarchy="4" level="1">
      <sharedItems count="5">
        <s v="C126"/>
        <s v="C158"/>
        <s v="C40"/>
        <s v="C5"/>
        <s v="C91"/>
      </sharedItems>
    </cacheField>
    <cacheField name="[Measures].[Sum of Orders]" caption="Sum of Orders" numFmtId="0" hierarchy="9" level="32767"/>
    <cacheField name="[Table1_1].[Salesperson Id].[Salesperson Id]" caption="Salesperson Id" numFmtId="0" hierarchy="1" level="1">
      <sharedItems count="10">
        <s v="S1"/>
        <s v="S16"/>
        <s v="S18"/>
        <s v="S19"/>
        <s v="S2"/>
        <s v="S3"/>
        <s v="S4"/>
        <s v="S5"/>
        <s v="S6"/>
        <s v="S7"/>
      </sharedItems>
    </cacheField>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3"/>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fieldsUsage count="2">
        <fieldUsage x="-1"/>
        <fieldUsage x="2"/>
      </fieldsUsage>
    </cacheHierarchy>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2" memberValueDatatype="130" unbalanced="0">
      <fieldsUsage count="2">
        <fieldUsage x="-1"/>
        <fieldUsage x="0"/>
      </fieldsUsage>
    </cacheHierarchy>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oneField="1">
      <fieldsUsage count="1">
        <fieldUsage x="1"/>
      </fieldsUsage>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4.513458796297" backgroundQuery="1" createdVersion="8" refreshedVersion="8" minRefreshableVersion="3" recordCount="0" supportSubquery="1" supportAdvancedDrill="1" xr:uid="{93BAB9DB-8813-443C-99CC-06920D0A8C57}">
  <cacheSource type="external" connectionId="2"/>
  <cacheFields count="2">
    <cacheField name="[Measures].[Total Sales]" caption="Total Sales" numFmtId="0" hierarchy="10" level="32767"/>
    <cacheField name="[Table1_1].[Year].[Year]" caption="Year" numFmtId="0" level="1">
      <sharedItems containsSemiMixedTypes="0" containsNonDate="0" containsString="0"/>
    </cacheField>
  </cacheFields>
  <cacheHierarchies count="17">
    <cacheHierarchy uniqueName="[Table1_1].[Year]" caption="Year" attribute="1" defaultMemberUniqueName="[Table1_1].[Year].[All]" allUniqueName="[Table1_1].[Year].[All]" dimensionUniqueName="[Table1_1]" displayFolder="" count="2" memberValueDatatype="20" unbalanced="0">
      <fieldsUsage count="2">
        <fieldUsage x="-1"/>
        <fieldUsage x="1"/>
      </fieldsUsage>
    </cacheHierarchy>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oneField="1">
      <fieldsUsage count="1">
        <fieldUsage x="0"/>
      </fieldsUsage>
    </cacheHierarchy>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jain" refreshedDate="46133.713465162036" backgroundQuery="1" createdVersion="3" refreshedVersion="8" minRefreshableVersion="3" recordCount="0" supportSubquery="1" supportAdvancedDrill="1" xr:uid="{0B6433E1-81EA-4BE8-A948-B5C571B982B9}">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Table1_1].[Year]" caption="Year" attribute="1" defaultMemberUniqueName="[Table1_1].[Year].[All]" allUniqueName="[Table1_1].[Year].[All]" dimensionUniqueName="[Table1_1]" displayFolder="" count="2" memberValueDatatype="20" unbalanced="0"/>
    <cacheHierarchy uniqueName="[Table1_1].[Salesperson Id]" caption="Salesperson Id" attribute="1" defaultMemberUniqueName="[Table1_1].[Salesperson Id].[All]" allUniqueName="[Table1_1].[Salesperson Id].[All]" dimensionUniqueName="[Table1_1]" displayFolder="" count="2" memberValueDatatype="130" unbalanced="0"/>
    <cacheHierarchy uniqueName="[Table1_1].[Offers]" caption="Offers" attribute="1" defaultMemberUniqueName="[Table1_1].[Offers].[All]" allUniqueName="[Table1_1].[Offers].[All]" dimensionUniqueName="[Table1_1]" displayFolder="" count="0" memberValueDatatype="20" unbalanced="0"/>
    <cacheHierarchy uniqueName="[Table1_1].[Orders]" caption="Orders" attribute="1" defaultMemberUniqueName="[Table1_1].[Orders].[All]" allUniqueName="[Table1_1].[Orders].[All]" dimensionUniqueName="[Table1_1]" displayFolder="" count="0" memberValueDatatype="2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Product]" caption="Product" attribute="1" defaultMemberUniqueName="[Table1_1].[Product].[All]" allUniqueName="[Table1_1].[Product].[All]" dimensionUniqueName="[Table1_1]" displayFolder="" count="2" memberValueDatatype="130" unbalanced="0"/>
    <cacheHierarchy uniqueName="[Table1_1].[Sales]" caption="Sales" attribute="1" defaultMemberUniqueName="[Table1_1].[Sales].[All]" allUniqueName="[Table1_1].[Sales].[All]" dimensionUniqueName="[Table1_1]" displayFolder="" count="0" memberValueDatatype="20" unbalanced="0"/>
    <cacheHierarchy uniqueName="[Measures].[Sum of Sales]" caption="Sum of Sales" measure="1" displayFolder="" measureGroup="Table1_1" count="0">
      <extLst>
        <ext xmlns:x15="http://schemas.microsoft.com/office/spreadsheetml/2010/11/main" uri="{B97F6D7D-B522-45F9-BDA1-12C45D357490}">
          <x15:cacheHierarchy aggregatedColumn="6"/>
        </ext>
      </extLst>
    </cacheHierarchy>
    <cacheHierarchy uniqueName="[Measures].[Sum of Offers]" caption="Sum of Offers" measure="1" displayFolder="" measureGroup="Table1_1" count="0">
      <extLst>
        <ext xmlns:x15="http://schemas.microsoft.com/office/spreadsheetml/2010/11/main" uri="{B97F6D7D-B522-45F9-BDA1-12C45D357490}">
          <x15:cacheHierarchy aggregatedColumn="2"/>
        </ext>
      </extLst>
    </cacheHierarchy>
    <cacheHierarchy uniqueName="[Measures].[Sum of Orders]" caption="Sum of Orders" measure="1" displayFolder="" measureGroup="Table1_1" count="0">
      <extLst>
        <ext xmlns:x15="http://schemas.microsoft.com/office/spreadsheetml/2010/11/main" uri="{B97F6D7D-B522-45F9-BDA1-12C45D357490}">
          <x15:cacheHierarchy aggregatedColumn="3"/>
        </ext>
      </extLst>
    </cacheHierarchy>
    <cacheHierarchy uniqueName="[Measures].[Total Sales]" caption="Total Sales" measure="1" displayFolder="" measureGroup="Table1_1" count="0"/>
    <cacheHierarchy uniqueName="[Measures].[Total Orders]" caption="Total Orders" measure="1" displayFolder="" measureGroup="Table1_1" count="0"/>
    <cacheHierarchy uniqueName="[Measures].[Average Order Value]" caption="Average Order Value" measure="1" displayFolder="" measureGroup="Table1_1" count="0"/>
    <cacheHierarchy uniqueName="[Measures].[Total Offers]" caption="Total Offers" measure="1" displayFolder="" measureGroup="Table1_1" count="0"/>
    <cacheHierarchy uniqueName="[Measures].[conversion rate]" caption="conversion rate" measure="1" displayFolder="" measureGroup="Table1_1" count="0"/>
    <cacheHierarchy uniqueName="[Measures].[__XL_Count Table1_1]" caption="__XL_Count Table1_1" measure="1" displayFolder="" measureGroup="Table1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561683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116071-3FB0-410E-907B-752478FB28CA}" name="Average Order Value" cacheId="5" applyNumberFormats="0" applyBorderFormats="0" applyFontFormats="0" applyPatternFormats="0" applyAlignmentFormats="0" applyWidthHeightFormats="1" dataCaption="Values" tag="cfe7f343-1eb2-480a-a9e1-c6ba6d2aad16" updatedVersion="8" minRefreshableVersion="3" useAutoFormatting="1" itemPrintTitles="1" createdVersion="8" indent="0" outline="1" outlineData="1" multipleFieldFilters="0">
  <location ref="M16:M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0">
      <pivotArea outline="0" collapsedLevelsAreSubtotals="1" fieldPosition="0"/>
    </format>
  </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FC404-1C2F-4200-8480-65D2C7020F31}" name="Top 5 Customers by Order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9:E2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Orders" fld="1" baseField="0" baseItem="0"/>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filters count="1">
    <filter fld="0" type="count" id="2" iMeasureHier="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CFE171-44C2-4BA2-B151-E08255BD5BAF}" name="Year wise Sales" cacheId="0" applyNumberFormats="0" applyBorderFormats="0" applyFontFormats="0" applyPatternFormats="0" applyAlignmentFormats="0" applyWidthHeightFormats="1" dataCaption="Values" tag="bcc2f318-649f-4d77-a14b-f2a98b32b9bd" updatedVersion="8" minRefreshableVersion="3" useAutoFormatting="1" itemPrintTitles="1" createdVersion="8" indent="0" outline="1" outlineData="1" multipleFieldFilters="0" chartFormat="6">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Total Sales" fld="1" baseField="0"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A9EE1A-6D86-4917-8DBF-A7F6CF262C01}" name="Product wise Sales" cacheId="2" applyNumberFormats="0" applyBorderFormats="0" applyFontFormats="0" applyPatternFormats="0" applyAlignmentFormats="0" applyWidthHeightFormats="1" dataCaption="Values" tag="ae53ce3e-20c3-4cdb-b6f7-346cdadce92f" updatedVersion="8" minRefreshableVersion="3" useAutoFormatting="1" itemPrintTitles="1" createdVersion="8" indent="0" outline="1" outlineData="1" multipleFieldFilters="0" chartFormat="6">
  <location ref="A11:B2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Sales" fld="1" baseField="0" baseItem="0" numFmtId="165"/>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59402F-396A-4960-9985-1A2EC2559F16}" name="Product wiese Orders" cacheId="3" applyNumberFormats="0" applyBorderFormats="0" applyFontFormats="0" applyPatternFormats="0" applyAlignmentFormats="0" applyWidthHeightFormats="1" dataCaption="Values" tag="4a4585d6-a54a-4c79-aff6-3c9b50c2b1b8" updatedVersion="8" minRefreshableVersion="3" useAutoFormatting="1" itemPrintTitles="1" createdVersion="8" indent="0" outline="1" outlineData="1" multipleFieldFilters="0" chartFormat="3">
  <location ref="H16:I26"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efaultSubtotal="0" defaultAttributeDrillState="1">
      <items count="9">
        <item x="3"/>
        <item x="0"/>
        <item x="1"/>
        <item x="2"/>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Total Orders" fld="1" baseField="0" baseItem="0"/>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filters count="1">
    <filter fld="0" type="count" id="2" iMeasureHier="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9AC669-3F04-4C63-AA08-965AA9B34C0C}" name="Salesman wise Orders" cacheId="9" applyNumberFormats="0" applyBorderFormats="0" applyFontFormats="0" applyPatternFormats="0" applyAlignmentFormats="0" applyWidthHeightFormats="1" dataCaption="Values" tag="3e45c038-eb2e-4279-8db3-484bc0360dcb" updatedVersion="8" minRefreshableVersion="3" useAutoFormatting="1" itemPrintTitles="1" createdVersion="8" indent="0" outline="1" outlineData="1" multipleFieldFilters="0" chartFormat="3">
  <location ref="K3:L1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Total Orders" fld="1" baseField="0" baseItem="0"/>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filters count="1">
    <filter fld="0" type="count" id="2" iMeasureHier="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ECA7D3-9EA6-4427-89EA-FA996E030F03}" name="Salesman wise Sales" cacheId="8" applyNumberFormats="0" applyBorderFormats="0" applyFontFormats="0" applyPatternFormats="0" applyAlignmentFormats="0" applyWidthHeightFormats="1" dataCaption="Values" tag="c198d841-0ad2-4ef9-a463-af5b32ce245c" updatedVersion="8" minRefreshableVersion="3" useAutoFormatting="1" itemPrintTitles="1" createdVersion="8" indent="0" outline="1" outlineData="1" multipleFieldFilters="0" chartFormat="8">
  <location ref="H3:I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Sales" fld="1" baseField="0" baseItem="0" numFmtId="165"/>
  </dataFields>
  <formats count="2">
    <format dxfId="7">
      <pivotArea outline="0" collapsedLevelsAreSubtotals="1" fieldPosition="0"/>
    </format>
    <format dxfId="6">
      <pivotArea outline="0" collapsedLevelsAreSubtotals="1" fieldPosition="0">
        <references count="1">
          <reference field="4294967294" count="1" selected="0">
            <x v="0"/>
          </reference>
        </references>
      </pivotArea>
    </format>
  </formats>
  <chartFormats count="1">
    <chartFormat chart="7"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99B26-4B7C-4259-927C-A4A9DB423A3C}" name="Total Orders" cacheId="4" applyNumberFormats="0" applyBorderFormats="0" applyFontFormats="0" applyPatternFormats="0" applyAlignmentFormats="0" applyWidthHeightFormats="1" dataCaption="Values" tag="6a1a42ed-32d8-49ff-acff-d8d537f06091" updatedVersion="8" minRefreshableVersion="3" useAutoFormatting="1" itemPrintTitles="1" createdVersion="8" indent="0" outline="1" outlineData="1" multipleFieldFilters="0">
  <location ref="K20:K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baseField="0" baseItem="0" numFmtId="3"/>
  </dataFields>
  <formats count="1">
    <format dxfId="8">
      <pivotArea outline="0" collapsedLevelsAreSubtotals="1" fieldPosition="0"/>
    </format>
  </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8B190F-6380-4E43-8E96-0CEEE32160BF}" name="Total Sales" cacheId="10" applyNumberFormats="0" applyBorderFormats="0" applyFontFormats="0" applyPatternFormats="0" applyAlignmentFormats="0" applyWidthHeightFormats="1" dataCaption="Values" tag="273156c3-5add-44fe-b846-9fab83c988a2" updatedVersion="8" minRefreshableVersion="3" useAutoFormatting="1" itemPrintTitles="1" createdVersion="8" indent="0" outline="1" outlineData="1" multipleFieldFilters="0">
  <location ref="K16:K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9">
      <pivotArea outline="0" collapsedLevelsAreSubtotals="1" fieldPosition="0"/>
    </format>
  </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caption="Total Sales"/>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40C2CA-003E-4D41-9C59-83CE8388CF82}" name="Year wise Offers and Orders" cacheId="1" applyNumberFormats="0" applyBorderFormats="0" applyFontFormats="0" applyPatternFormats="0" applyAlignmentFormats="0" applyWidthHeightFormats="1" dataCaption="Values" tag="c5fae911-072c-4caa-aa7e-1bb42ab93e71" updatedVersion="8" minRefreshableVersion="3" useAutoFormatting="1" itemPrintTitles="1" createdVersion="8" indent="0" outline="1" outlineData="1" multipleFieldFilters="0" chartFormat="4">
  <location ref="D3:F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Offers" fld="1" baseField="0" baseItem="0"/>
    <dataField name="Total Orders" fld="2" baseField="0" baseItem="0"/>
  </dataFields>
  <formats count="1">
    <format dxfId="1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caption="Total Offers"/>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F53FD7-D5B4-4844-8152-780CB11924CC}" name="Top 5 Customers by Sales" cacheId="6" applyNumberFormats="0" applyBorderFormats="0" applyFontFormats="0" applyPatternFormats="0" applyAlignmentFormats="0" applyWidthHeightFormats="1" dataCaption="Values" tag="6550027a-ac6e-4dd1-a383-02f700d5c8b1" updatedVersion="8" minRefreshableVersion="3" useAutoFormatting="1" itemPrintTitles="1" createdVersion="8" indent="0" outline="1" outlineData="1" multipleFieldFilters="0" chartFormat="3">
  <location ref="D11:E1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Total Sales" fld="1" baseField="0" baseItem="0" numFmtId="165"/>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4" showRowHeaders="1" showColHeaders="1" showRowStripes="0" showColStripes="0" showLastColumn="1"/>
  <filters count="1">
    <filter fld="0" type="count" id="1" iMeasureHier="7">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Engagement &amp; Sales Metrics Report 10716841657507.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18DBF3-2AD8-45E7-BE3C-20A75D74574A}" autoFormatId="16" applyNumberFormats="0" applyBorderFormats="0" applyFontFormats="0" applyPatternFormats="0" applyAlignmentFormats="0" applyWidthHeightFormats="0">
  <queryTableRefresh nextId="8">
    <queryTableFields count="7">
      <queryTableField id="1" name="Year" tableColumnId="1"/>
      <queryTableField id="2" name="Salesperson Id" tableColumnId="2"/>
      <queryTableField id="3" name="Offers" tableColumnId="3"/>
      <queryTableField id="4" name="Orders" tableColumnId="4"/>
      <queryTableField id="5" name="Customer Id" tableColumnId="5"/>
      <queryTableField id="6" name="Product" tableColumnId="6"/>
      <queryTableField id="7" name="Sale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1C50394-1B6F-4E55-9A71-020707CB677F}" sourceName="[Table1_1].[Year]">
  <pivotTables>
    <pivotTable tabId="4" name="Year wise Sales"/>
    <pivotTable tabId="4" name="Year wise Offers and Orders"/>
    <pivotTable tabId="4" name="Product wise Sales"/>
    <pivotTable tabId="4" name="Product wiese Orders"/>
    <pivotTable tabId="4" name="Total Orders"/>
    <pivotTable tabId="4" name="Average Order Value"/>
    <pivotTable tabId="4" name="Top 5 Customers by Sales"/>
    <pivotTable tabId="4" name="Top 5 Customers by Orders"/>
    <pivotTable tabId="4" name="Salesman wise Sales"/>
    <pivotTable tabId="4" name="Salesman wise Orders"/>
    <pivotTable tabId="4" name="Total Sales"/>
  </pivotTables>
  <data>
    <olap pivotCacheId="556168300">
      <levels count="2">
        <level uniqueName="[Table1_1].[Year].[(All)]" sourceCaption="(All)" count="0"/>
        <level uniqueName="[Table1_1].[Year].[Year]" sourceCaption="Year" count="4">
          <ranges>
            <range startItem="0">
              <i n="[Table1_1].[Year].&amp;[2021]" c="2021"/>
              <i n="[Table1_1].[Year].&amp;[2022]" c="2022"/>
              <i n="[Table1_1].[Year].&amp;[2023]" c="2023"/>
              <i n="[Table1_1].[Year].&amp;[2024]" c="2024"/>
            </range>
          </ranges>
        </level>
      </levels>
      <selections count="1">
        <selection n="[Table1_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1D08B26-235C-45A8-B0DD-50C83E3D2FEC}" sourceName="[Table1_1].[Product]">
  <pivotTables>
    <pivotTable tabId="4" name="Product wise Sales"/>
    <pivotTable tabId="4" name="Year wise Sales"/>
    <pivotTable tabId="4" name="Year wise Offers and Orders"/>
    <pivotTable tabId="4" name="Product wiese Orders"/>
    <pivotTable tabId="4" name="Total Orders"/>
    <pivotTable tabId="4" name="Average Order Value"/>
    <pivotTable tabId="4" name="Top 5 Customers by Orders"/>
    <pivotTable tabId="4" name="Salesman wise Sales"/>
    <pivotTable tabId="4" name="Salesman wise Orders"/>
    <pivotTable tabId="4" name="Total Sales"/>
  </pivotTables>
  <data>
    <olap pivotCacheId="556168300">
      <levels count="2">
        <level uniqueName="[Table1_1].[Product].[(All)]" sourceCaption="(All)" count="0"/>
        <level uniqueName="[Table1_1].[Product].[Product]" sourceCaption="Product" count="9">
          <ranges>
            <range startItem="0">
              <i n="[Table1_1].[Product].&amp;[P1]" c="P1"/>
              <i n="[Table1_1].[Product].&amp;[P11]" c="P11"/>
              <i n="[Table1_1].[Product].&amp;[P2]" c="P2"/>
              <i n="[Table1_1].[Product].&amp;[P24]" c="P24"/>
              <i n="[Table1_1].[Product].&amp;[P3]" c="P3"/>
              <i n="[Table1_1].[Product].&amp;[P34]" c="P34"/>
              <i n="[Table1_1].[Product].&amp;[P4]" c="P4"/>
              <i n="[Table1_1].[Product].&amp;[P6]" c="P6"/>
              <i n="[Table1_1].[Product].&amp;[P9]" c="P9"/>
            </range>
          </ranges>
        </level>
      </levels>
      <selections count="1">
        <selection n="[Table1_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Id" xr10:uid="{45BC6A2A-CF22-43E8-B73F-1ED17893C22B}" sourceName="[Table1_1].[Salesperson Id]">
  <pivotTables>
    <pivotTable tabId="4" name="Salesman wise Sales"/>
    <pivotTable tabId="4" name="Year wise Sales"/>
    <pivotTable tabId="4" name="Total Orders"/>
    <pivotTable tabId="4" name="Average Order Value"/>
    <pivotTable tabId="4" name="Year wise Offers and Orders"/>
    <pivotTable tabId="4" name="Product wise Sales"/>
    <pivotTable tabId="4" name="Top 5 Customers by Sales"/>
    <pivotTable tabId="4" name="Product wiese Orders"/>
    <pivotTable tabId="4" name="Salesman wise Orders"/>
    <pivotTable tabId="4" name="Total Sales"/>
  </pivotTables>
  <data>
    <olap pivotCacheId="556168300">
      <levels count="2">
        <level uniqueName="[Table1_1].[Salesperson Id].[(All)]" sourceCaption="(All)" count="0"/>
        <level uniqueName="[Table1_1].[Salesperson Id].[Salesperson Id]" sourceCaption="Salesperson Id" count="10">
          <ranges>
            <range startItem="0">
              <i n="[Table1_1].[Salesperson Id].&amp;[S1]" c="S1"/>
              <i n="[Table1_1].[Salesperson Id].&amp;[S16]" c="S16"/>
              <i n="[Table1_1].[Salesperson Id].&amp;[S18]" c="S18"/>
              <i n="[Table1_1].[Salesperson Id].&amp;[S19]" c="S19"/>
              <i n="[Table1_1].[Salesperson Id].&amp;[S2]" c="S2"/>
              <i n="[Table1_1].[Salesperson Id].&amp;[S3]" c="S3"/>
              <i n="[Table1_1].[Salesperson Id].&amp;[S4]" c="S4"/>
              <i n="[Table1_1].[Salesperson Id].&amp;[S5]" c="S5"/>
              <i n="[Table1_1].[Salesperson Id].&amp;[S6]" c="S6"/>
              <i n="[Table1_1].[Salesperson Id].&amp;[S7]" c="S7"/>
            </range>
          </ranges>
        </level>
      </levels>
      <selections count="1">
        <selection n="[Table1_1].[Salesperson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C69FAF-6C0B-4375-BDB6-0312C27D560E}" cache="Slicer_Year" caption="Year" level="1" style="SlicerStyleOther1" rowHeight="249238"/>
  <slicer name="Product" xr10:uid="{E9A609FD-36E4-4517-B57B-7C612DC04D8D}" cache="Slicer_Product" caption="Product" level="1" style="SlicerStyleOther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Id" xr10:uid="{F0E7B53E-A149-476D-AF80-B0F15C5EB8F4}" cache="Slicer_Salesperson_Id" caption="Salesperson Id" level="1" style="SlicerStyleOther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ED87D-C22E-42B3-B898-D42471AB6CA9}" name="Table1_1" displayName="Table1_1" ref="A1:G805" tableType="queryTable" totalsRowShown="0">
  <autoFilter ref="A1:G805" xr:uid="{3F6ED87D-C22E-42B3-B898-D42471AB6CA9}"/>
  <tableColumns count="7">
    <tableColumn id="1" xr3:uid="{1B5F019E-CE68-4E42-970B-C77C3C3A5C42}" uniqueName="1" name="Year" queryTableFieldId="1"/>
    <tableColumn id="2" xr3:uid="{9C95A3DE-2C9E-4D5E-AE6A-B293CB40821A}" uniqueName="2" name="Salesperson Id" queryTableFieldId="2" dataDxfId="14"/>
    <tableColumn id="3" xr3:uid="{C36BF684-8C0B-4310-8478-0409620B9EF4}" uniqueName="3" name="Offers" queryTableFieldId="3"/>
    <tableColumn id="4" xr3:uid="{45648FE2-C960-43AE-89F8-B7234BA0AA13}" uniqueName="4" name="Orders" queryTableFieldId="4"/>
    <tableColumn id="5" xr3:uid="{FCD79FF2-1077-45F9-A1C3-075B39B05BC2}" uniqueName="5" name="Customer Id" queryTableFieldId="5" dataDxfId="13"/>
    <tableColumn id="6" xr3:uid="{672725D4-42D6-4D94-BFE7-42AC4DD835B2}" uniqueName="6" name="Product" queryTableFieldId="6" dataDxfId="12"/>
    <tableColumn id="7" xr3:uid="{FC46F71B-8634-4B22-B50D-66A0D6E268DF}" uniqueName="7" name="Sale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14">
      <a:dk1>
        <a:sysClr val="windowText" lastClr="000000"/>
      </a:dk1>
      <a:lt1>
        <a:sysClr val="window" lastClr="FFFFFF"/>
      </a:lt1>
      <a:dk2>
        <a:srgbClr val="44546A"/>
      </a:dk2>
      <a:lt2>
        <a:srgbClr val="E7E6E6"/>
      </a:lt2>
      <a:accent1>
        <a:srgbClr val="4472C4"/>
      </a:accent1>
      <a:accent2>
        <a:srgbClr val="9EC1FB"/>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9B99-18CD-4F84-8541-0A5B85E43E89}">
  <sheetPr>
    <tabColor theme="3" tint="0.59999389629810485"/>
  </sheetPr>
  <dimension ref="A1:G805"/>
  <sheetViews>
    <sheetView workbookViewId="0">
      <selection activeCell="I16" sqref="I16"/>
    </sheetView>
  </sheetViews>
  <sheetFormatPr defaultRowHeight="14.25" x14ac:dyDescent="0.45"/>
  <cols>
    <col min="1" max="1" width="6.53125" bestFit="1" customWidth="1"/>
    <col min="2" max="2" width="14.73046875" bestFit="1" customWidth="1"/>
    <col min="3" max="3" width="7.9296875" bestFit="1" customWidth="1"/>
    <col min="4" max="4" width="8.3984375" bestFit="1" customWidth="1"/>
    <col min="5" max="5" width="12.6640625" bestFit="1" customWidth="1"/>
    <col min="6" max="6" width="9.19921875" bestFit="1" customWidth="1"/>
    <col min="7" max="7" width="7.73046875" bestFit="1" customWidth="1"/>
  </cols>
  <sheetData>
    <row r="1" spans="1:7" x14ac:dyDescent="0.45">
      <c r="A1" t="s">
        <v>0</v>
      </c>
      <c r="B1" t="s">
        <v>4</v>
      </c>
      <c r="C1" t="s">
        <v>2</v>
      </c>
      <c r="D1" t="s">
        <v>3</v>
      </c>
      <c r="E1" t="s">
        <v>5</v>
      </c>
      <c r="F1" t="s">
        <v>1</v>
      </c>
      <c r="G1" t="s">
        <v>6</v>
      </c>
    </row>
    <row r="2" spans="1:7" x14ac:dyDescent="0.45">
      <c r="A2">
        <v>2023</v>
      </c>
      <c r="B2" t="s">
        <v>7</v>
      </c>
      <c r="C2">
        <v>930</v>
      </c>
      <c r="D2">
        <v>563</v>
      </c>
      <c r="E2" t="s">
        <v>8</v>
      </c>
      <c r="F2" t="s">
        <v>9</v>
      </c>
      <c r="G2">
        <v>356908</v>
      </c>
    </row>
    <row r="3" spans="1:7" x14ac:dyDescent="0.45">
      <c r="A3">
        <v>2021</v>
      </c>
      <c r="B3" t="s">
        <v>10</v>
      </c>
      <c r="C3">
        <v>871</v>
      </c>
      <c r="D3">
        <v>810</v>
      </c>
      <c r="E3" t="s">
        <v>8</v>
      </c>
      <c r="F3" t="s">
        <v>11</v>
      </c>
      <c r="G3">
        <v>801894</v>
      </c>
    </row>
    <row r="4" spans="1:7" x14ac:dyDescent="0.45">
      <c r="A4">
        <v>2024</v>
      </c>
      <c r="B4" t="s">
        <v>12</v>
      </c>
      <c r="C4">
        <v>210</v>
      </c>
      <c r="D4">
        <v>177</v>
      </c>
      <c r="E4" t="s">
        <v>8</v>
      </c>
      <c r="F4" t="s">
        <v>13</v>
      </c>
      <c r="G4">
        <v>1136465</v>
      </c>
    </row>
    <row r="5" spans="1:7" x14ac:dyDescent="0.45">
      <c r="A5">
        <v>2022</v>
      </c>
      <c r="B5" t="s">
        <v>14</v>
      </c>
      <c r="C5">
        <v>168</v>
      </c>
      <c r="D5">
        <v>97</v>
      </c>
      <c r="E5" t="s">
        <v>8</v>
      </c>
      <c r="F5" t="s">
        <v>15</v>
      </c>
      <c r="G5">
        <v>907140</v>
      </c>
    </row>
    <row r="6" spans="1:7" x14ac:dyDescent="0.45">
      <c r="A6">
        <v>2021</v>
      </c>
      <c r="B6" t="s">
        <v>16</v>
      </c>
      <c r="C6">
        <v>105</v>
      </c>
      <c r="D6">
        <v>924</v>
      </c>
      <c r="E6" t="s">
        <v>17</v>
      </c>
      <c r="F6" t="s">
        <v>15</v>
      </c>
      <c r="G6">
        <v>437881</v>
      </c>
    </row>
    <row r="7" spans="1:7" x14ac:dyDescent="0.45">
      <c r="A7">
        <v>2022</v>
      </c>
      <c r="B7" t="s">
        <v>18</v>
      </c>
      <c r="C7">
        <v>795</v>
      </c>
      <c r="D7">
        <v>469</v>
      </c>
      <c r="E7" t="s">
        <v>17</v>
      </c>
      <c r="F7" t="s">
        <v>19</v>
      </c>
      <c r="G7">
        <v>226497</v>
      </c>
    </row>
    <row r="8" spans="1:7" x14ac:dyDescent="0.45">
      <c r="A8">
        <v>2023</v>
      </c>
      <c r="B8" t="s">
        <v>20</v>
      </c>
      <c r="C8">
        <v>968</v>
      </c>
      <c r="D8">
        <v>330</v>
      </c>
      <c r="E8" t="s">
        <v>17</v>
      </c>
      <c r="F8" t="s">
        <v>11</v>
      </c>
      <c r="G8">
        <v>145079</v>
      </c>
    </row>
    <row r="9" spans="1:7" x14ac:dyDescent="0.45">
      <c r="A9">
        <v>2021</v>
      </c>
      <c r="B9" t="s">
        <v>18</v>
      </c>
      <c r="C9">
        <v>299</v>
      </c>
      <c r="D9">
        <v>975</v>
      </c>
      <c r="E9" t="s">
        <v>21</v>
      </c>
      <c r="F9" t="s">
        <v>13</v>
      </c>
      <c r="G9">
        <v>164317</v>
      </c>
    </row>
    <row r="10" spans="1:7" x14ac:dyDescent="0.45">
      <c r="A10">
        <v>2023</v>
      </c>
      <c r="B10" t="s">
        <v>20</v>
      </c>
      <c r="C10">
        <v>312</v>
      </c>
      <c r="D10">
        <v>983</v>
      </c>
      <c r="E10" t="s">
        <v>21</v>
      </c>
      <c r="F10" t="s">
        <v>22</v>
      </c>
      <c r="G10">
        <v>129596</v>
      </c>
    </row>
    <row r="11" spans="1:7" x14ac:dyDescent="0.45">
      <c r="A11">
        <v>2022</v>
      </c>
      <c r="B11" t="s">
        <v>12</v>
      </c>
      <c r="C11">
        <v>692</v>
      </c>
      <c r="D11">
        <v>300</v>
      </c>
      <c r="E11" t="s">
        <v>21</v>
      </c>
      <c r="F11" t="s">
        <v>9</v>
      </c>
      <c r="G11">
        <v>185506</v>
      </c>
    </row>
    <row r="12" spans="1:7" x14ac:dyDescent="0.45">
      <c r="A12">
        <v>2024</v>
      </c>
      <c r="B12" t="s">
        <v>14</v>
      </c>
      <c r="C12">
        <v>413</v>
      </c>
      <c r="D12">
        <v>930</v>
      </c>
      <c r="E12" t="s">
        <v>21</v>
      </c>
      <c r="F12" t="s">
        <v>23</v>
      </c>
      <c r="G12">
        <v>590038</v>
      </c>
    </row>
    <row r="13" spans="1:7" x14ac:dyDescent="0.45">
      <c r="A13">
        <v>2022</v>
      </c>
      <c r="B13" t="s">
        <v>10</v>
      </c>
      <c r="C13">
        <v>839</v>
      </c>
      <c r="D13">
        <v>983</v>
      </c>
      <c r="E13" t="s">
        <v>24</v>
      </c>
      <c r="F13" t="s">
        <v>15</v>
      </c>
      <c r="G13">
        <v>552107</v>
      </c>
    </row>
    <row r="14" spans="1:7" x14ac:dyDescent="0.45">
      <c r="A14">
        <v>2023</v>
      </c>
      <c r="B14" t="s">
        <v>12</v>
      </c>
      <c r="C14">
        <v>403</v>
      </c>
      <c r="D14">
        <v>953</v>
      </c>
      <c r="E14" t="s">
        <v>24</v>
      </c>
      <c r="F14" t="s">
        <v>13</v>
      </c>
      <c r="G14">
        <v>653988</v>
      </c>
    </row>
    <row r="15" spans="1:7" x14ac:dyDescent="0.45">
      <c r="A15">
        <v>2024</v>
      </c>
      <c r="B15" t="s">
        <v>14</v>
      </c>
      <c r="C15">
        <v>930</v>
      </c>
      <c r="D15">
        <v>563</v>
      </c>
      <c r="E15" t="s">
        <v>24</v>
      </c>
      <c r="F15" t="s">
        <v>23</v>
      </c>
      <c r="G15">
        <v>691680</v>
      </c>
    </row>
    <row r="16" spans="1:7" x14ac:dyDescent="0.45">
      <c r="A16">
        <v>2021</v>
      </c>
      <c r="B16" t="s">
        <v>14</v>
      </c>
      <c r="C16">
        <v>166</v>
      </c>
      <c r="D16">
        <v>934</v>
      </c>
      <c r="E16" t="s">
        <v>24</v>
      </c>
      <c r="F16" t="s">
        <v>19</v>
      </c>
      <c r="G16">
        <v>883137</v>
      </c>
    </row>
    <row r="17" spans="1:7" x14ac:dyDescent="0.45">
      <c r="A17">
        <v>2024</v>
      </c>
      <c r="B17" t="s">
        <v>25</v>
      </c>
      <c r="C17">
        <v>93</v>
      </c>
      <c r="D17">
        <v>852</v>
      </c>
      <c r="E17" t="s">
        <v>26</v>
      </c>
      <c r="F17" t="s">
        <v>11</v>
      </c>
      <c r="G17">
        <v>1380748</v>
      </c>
    </row>
    <row r="18" spans="1:7" x14ac:dyDescent="0.45">
      <c r="A18">
        <v>2021</v>
      </c>
      <c r="B18" t="s">
        <v>20</v>
      </c>
      <c r="C18">
        <v>573</v>
      </c>
      <c r="D18">
        <v>784</v>
      </c>
      <c r="E18" t="s">
        <v>26</v>
      </c>
      <c r="F18" t="s">
        <v>13</v>
      </c>
      <c r="G18">
        <v>972776</v>
      </c>
    </row>
    <row r="19" spans="1:7" x14ac:dyDescent="0.45">
      <c r="A19">
        <v>2023</v>
      </c>
      <c r="B19" t="s">
        <v>27</v>
      </c>
      <c r="C19">
        <v>93</v>
      </c>
      <c r="D19">
        <v>852</v>
      </c>
      <c r="E19" t="s">
        <v>26</v>
      </c>
      <c r="F19" t="s">
        <v>11</v>
      </c>
      <c r="G19">
        <v>306653</v>
      </c>
    </row>
    <row r="20" spans="1:7" x14ac:dyDescent="0.45">
      <c r="A20">
        <v>2022</v>
      </c>
      <c r="B20" t="s">
        <v>28</v>
      </c>
      <c r="C20">
        <v>839</v>
      </c>
      <c r="D20">
        <v>983</v>
      </c>
      <c r="E20" t="s">
        <v>26</v>
      </c>
      <c r="F20" t="s">
        <v>9</v>
      </c>
      <c r="G20">
        <v>185506</v>
      </c>
    </row>
    <row r="21" spans="1:7" x14ac:dyDescent="0.45">
      <c r="A21">
        <v>2024</v>
      </c>
      <c r="B21" t="s">
        <v>14</v>
      </c>
      <c r="C21">
        <v>312</v>
      </c>
      <c r="D21">
        <v>983</v>
      </c>
      <c r="E21" t="s">
        <v>26</v>
      </c>
      <c r="F21" t="s">
        <v>22</v>
      </c>
      <c r="G21">
        <v>767403</v>
      </c>
    </row>
    <row r="22" spans="1:7" x14ac:dyDescent="0.45">
      <c r="A22">
        <v>2021</v>
      </c>
      <c r="B22" t="s">
        <v>18</v>
      </c>
      <c r="C22">
        <v>299</v>
      </c>
      <c r="D22">
        <v>975</v>
      </c>
      <c r="E22" t="s">
        <v>29</v>
      </c>
      <c r="F22" t="s">
        <v>13</v>
      </c>
      <c r="G22">
        <v>117088</v>
      </c>
    </row>
    <row r="23" spans="1:7" x14ac:dyDescent="0.45">
      <c r="A23">
        <v>2022</v>
      </c>
      <c r="B23" t="s">
        <v>7</v>
      </c>
      <c r="C23">
        <v>692</v>
      </c>
      <c r="D23">
        <v>300</v>
      </c>
      <c r="E23" t="s">
        <v>29</v>
      </c>
      <c r="F23" t="s">
        <v>23</v>
      </c>
      <c r="G23">
        <v>275319</v>
      </c>
    </row>
    <row r="24" spans="1:7" x14ac:dyDescent="0.45">
      <c r="A24">
        <v>2024</v>
      </c>
      <c r="B24" t="s">
        <v>14</v>
      </c>
      <c r="C24">
        <v>784</v>
      </c>
      <c r="D24">
        <v>540</v>
      </c>
      <c r="E24" t="s">
        <v>29</v>
      </c>
      <c r="F24" t="s">
        <v>9</v>
      </c>
      <c r="G24">
        <v>344920</v>
      </c>
    </row>
    <row r="25" spans="1:7" x14ac:dyDescent="0.45">
      <c r="A25">
        <v>2023</v>
      </c>
      <c r="B25" t="s">
        <v>14</v>
      </c>
      <c r="C25">
        <v>597</v>
      </c>
      <c r="D25">
        <v>287</v>
      </c>
      <c r="E25" t="s">
        <v>29</v>
      </c>
      <c r="F25" t="s">
        <v>30</v>
      </c>
      <c r="G25">
        <v>462946</v>
      </c>
    </row>
    <row r="26" spans="1:7" x14ac:dyDescent="0.45">
      <c r="A26">
        <v>2023</v>
      </c>
      <c r="B26" t="s">
        <v>16</v>
      </c>
      <c r="C26">
        <v>577</v>
      </c>
      <c r="D26">
        <v>175</v>
      </c>
      <c r="E26" t="s">
        <v>31</v>
      </c>
      <c r="F26" t="s">
        <v>15</v>
      </c>
      <c r="G26">
        <v>928877</v>
      </c>
    </row>
    <row r="27" spans="1:7" x14ac:dyDescent="0.45">
      <c r="A27">
        <v>2022</v>
      </c>
      <c r="B27" t="s">
        <v>7</v>
      </c>
      <c r="C27">
        <v>610</v>
      </c>
      <c r="D27">
        <v>970</v>
      </c>
      <c r="E27" t="s">
        <v>31</v>
      </c>
      <c r="F27" t="s">
        <v>11</v>
      </c>
      <c r="G27">
        <v>268141</v>
      </c>
    </row>
    <row r="28" spans="1:7" x14ac:dyDescent="0.45">
      <c r="A28">
        <v>2021</v>
      </c>
      <c r="B28" t="s">
        <v>27</v>
      </c>
      <c r="C28">
        <v>137</v>
      </c>
      <c r="D28">
        <v>784</v>
      </c>
      <c r="E28" t="s">
        <v>31</v>
      </c>
      <c r="F28" t="s">
        <v>15</v>
      </c>
      <c r="G28">
        <v>390192</v>
      </c>
    </row>
    <row r="29" spans="1:7" x14ac:dyDescent="0.45">
      <c r="A29">
        <v>2024</v>
      </c>
      <c r="B29" t="s">
        <v>28</v>
      </c>
      <c r="C29">
        <v>784</v>
      </c>
      <c r="D29">
        <v>540</v>
      </c>
      <c r="E29" t="s">
        <v>31</v>
      </c>
      <c r="F29" t="s">
        <v>13</v>
      </c>
      <c r="G29">
        <v>335927</v>
      </c>
    </row>
    <row r="30" spans="1:7" x14ac:dyDescent="0.45">
      <c r="A30">
        <v>2023</v>
      </c>
      <c r="B30" t="s">
        <v>10</v>
      </c>
      <c r="C30">
        <v>403</v>
      </c>
      <c r="D30">
        <v>953</v>
      </c>
      <c r="E30" t="s">
        <v>32</v>
      </c>
      <c r="F30" t="s">
        <v>11</v>
      </c>
      <c r="G30">
        <v>461137</v>
      </c>
    </row>
    <row r="31" spans="1:7" x14ac:dyDescent="0.45">
      <c r="A31">
        <v>2024</v>
      </c>
      <c r="B31" t="s">
        <v>27</v>
      </c>
      <c r="C31">
        <v>930</v>
      </c>
      <c r="D31">
        <v>563</v>
      </c>
      <c r="E31" t="s">
        <v>32</v>
      </c>
      <c r="F31" t="s">
        <v>15</v>
      </c>
      <c r="G31">
        <v>728743</v>
      </c>
    </row>
    <row r="32" spans="1:7" x14ac:dyDescent="0.45">
      <c r="A32">
        <v>2022</v>
      </c>
      <c r="B32" t="s">
        <v>27</v>
      </c>
      <c r="C32">
        <v>839</v>
      </c>
      <c r="D32">
        <v>983</v>
      </c>
      <c r="E32" t="s">
        <v>32</v>
      </c>
      <c r="F32" t="s">
        <v>15</v>
      </c>
      <c r="G32">
        <v>581692</v>
      </c>
    </row>
    <row r="33" spans="1:7" x14ac:dyDescent="0.45">
      <c r="A33">
        <v>2021</v>
      </c>
      <c r="B33" t="s">
        <v>14</v>
      </c>
      <c r="C33">
        <v>537</v>
      </c>
      <c r="D33">
        <v>970</v>
      </c>
      <c r="E33" t="s">
        <v>32</v>
      </c>
      <c r="F33" t="s">
        <v>13</v>
      </c>
      <c r="G33">
        <v>304622</v>
      </c>
    </row>
    <row r="34" spans="1:7" x14ac:dyDescent="0.45">
      <c r="A34">
        <v>2024</v>
      </c>
      <c r="B34" t="s">
        <v>16</v>
      </c>
      <c r="C34">
        <v>93</v>
      </c>
      <c r="D34">
        <v>852</v>
      </c>
      <c r="E34" t="s">
        <v>33</v>
      </c>
      <c r="F34" t="s">
        <v>13</v>
      </c>
      <c r="G34">
        <v>1049283</v>
      </c>
    </row>
    <row r="35" spans="1:7" x14ac:dyDescent="0.45">
      <c r="A35">
        <v>2023</v>
      </c>
      <c r="B35" t="s">
        <v>7</v>
      </c>
      <c r="C35">
        <v>168</v>
      </c>
      <c r="D35">
        <v>97</v>
      </c>
      <c r="E35" t="s">
        <v>33</v>
      </c>
      <c r="F35" t="s">
        <v>34</v>
      </c>
      <c r="G35">
        <v>186455</v>
      </c>
    </row>
    <row r="36" spans="1:7" x14ac:dyDescent="0.45">
      <c r="A36">
        <v>2022</v>
      </c>
      <c r="B36" t="s">
        <v>12</v>
      </c>
      <c r="C36">
        <v>872</v>
      </c>
      <c r="D36">
        <v>249</v>
      </c>
      <c r="E36" t="s">
        <v>33</v>
      </c>
      <c r="F36" t="s">
        <v>30</v>
      </c>
      <c r="G36">
        <v>837550</v>
      </c>
    </row>
    <row r="37" spans="1:7" x14ac:dyDescent="0.45">
      <c r="A37">
        <v>2021</v>
      </c>
      <c r="B37" t="s">
        <v>14</v>
      </c>
      <c r="C37">
        <v>61</v>
      </c>
      <c r="D37">
        <v>28</v>
      </c>
      <c r="E37" t="s">
        <v>33</v>
      </c>
      <c r="F37" t="s">
        <v>11</v>
      </c>
      <c r="G37">
        <v>1032643</v>
      </c>
    </row>
    <row r="38" spans="1:7" x14ac:dyDescent="0.45">
      <c r="A38">
        <v>2024</v>
      </c>
      <c r="B38" t="s">
        <v>25</v>
      </c>
      <c r="C38">
        <v>168</v>
      </c>
      <c r="D38">
        <v>97</v>
      </c>
      <c r="E38" t="s">
        <v>35</v>
      </c>
      <c r="F38" t="s">
        <v>11</v>
      </c>
      <c r="G38">
        <v>1380748</v>
      </c>
    </row>
    <row r="39" spans="1:7" x14ac:dyDescent="0.45">
      <c r="A39">
        <v>2021</v>
      </c>
      <c r="B39" t="s">
        <v>25</v>
      </c>
      <c r="C39">
        <v>156</v>
      </c>
      <c r="D39">
        <v>54</v>
      </c>
      <c r="E39" t="s">
        <v>35</v>
      </c>
      <c r="F39" t="s">
        <v>11</v>
      </c>
      <c r="G39">
        <v>249211</v>
      </c>
    </row>
    <row r="40" spans="1:7" x14ac:dyDescent="0.45">
      <c r="A40">
        <v>2024</v>
      </c>
      <c r="B40" t="s">
        <v>28</v>
      </c>
      <c r="C40">
        <v>610</v>
      </c>
      <c r="D40">
        <v>970</v>
      </c>
      <c r="E40" t="s">
        <v>35</v>
      </c>
      <c r="F40" t="s">
        <v>34</v>
      </c>
      <c r="G40">
        <v>1219204</v>
      </c>
    </row>
    <row r="41" spans="1:7" x14ac:dyDescent="0.45">
      <c r="A41">
        <v>2023</v>
      </c>
      <c r="B41" t="s">
        <v>12</v>
      </c>
      <c r="C41">
        <v>872</v>
      </c>
      <c r="D41">
        <v>249</v>
      </c>
      <c r="E41" t="s">
        <v>35</v>
      </c>
      <c r="F41" t="s">
        <v>30</v>
      </c>
      <c r="G41">
        <v>439391</v>
      </c>
    </row>
    <row r="42" spans="1:7" x14ac:dyDescent="0.45">
      <c r="A42">
        <v>2022</v>
      </c>
      <c r="B42" t="s">
        <v>12</v>
      </c>
      <c r="C42">
        <v>568</v>
      </c>
      <c r="D42">
        <v>505</v>
      </c>
      <c r="E42" t="s">
        <v>35</v>
      </c>
      <c r="F42" t="s">
        <v>22</v>
      </c>
      <c r="G42">
        <v>973183</v>
      </c>
    </row>
    <row r="43" spans="1:7" x14ac:dyDescent="0.45">
      <c r="A43">
        <v>2024</v>
      </c>
      <c r="B43" t="s">
        <v>14</v>
      </c>
      <c r="C43">
        <v>839</v>
      </c>
      <c r="D43">
        <v>334</v>
      </c>
      <c r="E43" t="s">
        <v>35</v>
      </c>
      <c r="F43" t="s">
        <v>19</v>
      </c>
      <c r="G43">
        <v>805070</v>
      </c>
    </row>
    <row r="44" spans="1:7" x14ac:dyDescent="0.45">
      <c r="A44">
        <v>2022</v>
      </c>
      <c r="B44" t="s">
        <v>7</v>
      </c>
      <c r="C44">
        <v>930</v>
      </c>
      <c r="D44">
        <v>563</v>
      </c>
      <c r="E44" t="s">
        <v>36</v>
      </c>
      <c r="F44" t="s">
        <v>9</v>
      </c>
      <c r="G44">
        <v>185506</v>
      </c>
    </row>
    <row r="45" spans="1:7" x14ac:dyDescent="0.45">
      <c r="A45">
        <v>2023</v>
      </c>
      <c r="B45" t="s">
        <v>20</v>
      </c>
      <c r="C45">
        <v>210</v>
      </c>
      <c r="D45">
        <v>177</v>
      </c>
      <c r="E45" t="s">
        <v>36</v>
      </c>
      <c r="F45" t="s">
        <v>13</v>
      </c>
      <c r="G45">
        <v>396397</v>
      </c>
    </row>
    <row r="46" spans="1:7" x14ac:dyDescent="0.45">
      <c r="A46">
        <v>2024</v>
      </c>
      <c r="B46" t="s">
        <v>14</v>
      </c>
      <c r="C46">
        <v>692</v>
      </c>
      <c r="D46">
        <v>300</v>
      </c>
      <c r="E46" t="s">
        <v>36</v>
      </c>
      <c r="F46" t="s">
        <v>30</v>
      </c>
      <c r="G46">
        <v>597293</v>
      </c>
    </row>
    <row r="47" spans="1:7" x14ac:dyDescent="0.45">
      <c r="A47">
        <v>2021</v>
      </c>
      <c r="B47" t="s">
        <v>14</v>
      </c>
      <c r="C47">
        <v>232</v>
      </c>
      <c r="D47">
        <v>351</v>
      </c>
      <c r="E47" t="s">
        <v>36</v>
      </c>
      <c r="F47" t="s">
        <v>15</v>
      </c>
      <c r="G47">
        <v>836894</v>
      </c>
    </row>
    <row r="48" spans="1:7" x14ac:dyDescent="0.45">
      <c r="A48">
        <v>2021</v>
      </c>
      <c r="B48" t="s">
        <v>16</v>
      </c>
      <c r="C48">
        <v>929</v>
      </c>
      <c r="D48">
        <v>590</v>
      </c>
      <c r="E48" t="s">
        <v>37</v>
      </c>
      <c r="F48" t="s">
        <v>34</v>
      </c>
      <c r="G48">
        <v>801894</v>
      </c>
    </row>
    <row r="49" spans="1:7" x14ac:dyDescent="0.45">
      <c r="A49">
        <v>2024</v>
      </c>
      <c r="B49" t="s">
        <v>7</v>
      </c>
      <c r="C49">
        <v>168</v>
      </c>
      <c r="D49">
        <v>97</v>
      </c>
      <c r="E49" t="s">
        <v>37</v>
      </c>
      <c r="F49" t="s">
        <v>22</v>
      </c>
      <c r="G49">
        <v>978998</v>
      </c>
    </row>
    <row r="50" spans="1:7" x14ac:dyDescent="0.45">
      <c r="A50">
        <v>2023</v>
      </c>
      <c r="B50" t="s">
        <v>7</v>
      </c>
      <c r="C50">
        <v>839</v>
      </c>
      <c r="D50">
        <v>334</v>
      </c>
      <c r="E50" t="s">
        <v>37</v>
      </c>
      <c r="F50" t="s">
        <v>34</v>
      </c>
      <c r="G50">
        <v>1001880</v>
      </c>
    </row>
    <row r="51" spans="1:7" x14ac:dyDescent="0.45">
      <c r="A51">
        <v>2022</v>
      </c>
      <c r="B51" t="s">
        <v>12</v>
      </c>
      <c r="C51">
        <v>403</v>
      </c>
      <c r="D51">
        <v>953</v>
      </c>
      <c r="E51" t="s">
        <v>37</v>
      </c>
      <c r="F51" t="s">
        <v>19</v>
      </c>
      <c r="G51">
        <v>781448</v>
      </c>
    </row>
    <row r="52" spans="1:7" x14ac:dyDescent="0.45">
      <c r="A52">
        <v>2023</v>
      </c>
      <c r="B52" t="s">
        <v>25</v>
      </c>
      <c r="C52">
        <v>403</v>
      </c>
      <c r="D52">
        <v>953</v>
      </c>
      <c r="E52" t="s">
        <v>38</v>
      </c>
      <c r="F52" t="s">
        <v>22</v>
      </c>
      <c r="G52">
        <v>712968</v>
      </c>
    </row>
    <row r="53" spans="1:7" x14ac:dyDescent="0.45">
      <c r="A53">
        <v>2021</v>
      </c>
      <c r="B53" t="s">
        <v>25</v>
      </c>
      <c r="C53">
        <v>479</v>
      </c>
      <c r="D53">
        <v>934</v>
      </c>
      <c r="E53" t="s">
        <v>38</v>
      </c>
      <c r="F53" t="s">
        <v>34</v>
      </c>
      <c r="G53">
        <v>472993</v>
      </c>
    </row>
    <row r="54" spans="1:7" x14ac:dyDescent="0.45">
      <c r="A54">
        <v>2022</v>
      </c>
      <c r="B54" t="s">
        <v>27</v>
      </c>
      <c r="C54">
        <v>839</v>
      </c>
      <c r="D54">
        <v>983</v>
      </c>
      <c r="E54" t="s">
        <v>38</v>
      </c>
      <c r="F54" t="s">
        <v>15</v>
      </c>
      <c r="G54">
        <v>266508</v>
      </c>
    </row>
    <row r="55" spans="1:7" x14ac:dyDescent="0.45">
      <c r="A55">
        <v>2024</v>
      </c>
      <c r="B55" t="s">
        <v>12</v>
      </c>
      <c r="C55">
        <v>577</v>
      </c>
      <c r="D55">
        <v>175</v>
      </c>
      <c r="E55" t="s">
        <v>38</v>
      </c>
      <c r="F55" t="s">
        <v>34</v>
      </c>
      <c r="G55">
        <v>333881</v>
      </c>
    </row>
    <row r="56" spans="1:7" x14ac:dyDescent="0.45">
      <c r="A56">
        <v>2024</v>
      </c>
      <c r="B56" t="s">
        <v>25</v>
      </c>
      <c r="C56">
        <v>968</v>
      </c>
      <c r="D56">
        <v>330</v>
      </c>
      <c r="E56" t="s">
        <v>39</v>
      </c>
      <c r="F56" t="s">
        <v>11</v>
      </c>
      <c r="G56">
        <v>274155</v>
      </c>
    </row>
    <row r="57" spans="1:7" x14ac:dyDescent="0.45">
      <c r="A57">
        <v>2023</v>
      </c>
      <c r="B57" t="s">
        <v>25</v>
      </c>
      <c r="C57">
        <v>413</v>
      </c>
      <c r="D57">
        <v>930</v>
      </c>
      <c r="E57" t="s">
        <v>39</v>
      </c>
      <c r="F57" t="s">
        <v>15</v>
      </c>
      <c r="G57">
        <v>612550</v>
      </c>
    </row>
    <row r="58" spans="1:7" x14ac:dyDescent="0.45">
      <c r="A58">
        <v>2021</v>
      </c>
      <c r="B58" t="s">
        <v>18</v>
      </c>
      <c r="C58">
        <v>389</v>
      </c>
      <c r="D58">
        <v>930</v>
      </c>
      <c r="E58" t="s">
        <v>39</v>
      </c>
      <c r="F58" t="s">
        <v>9</v>
      </c>
      <c r="G58">
        <v>151026</v>
      </c>
    </row>
    <row r="59" spans="1:7" x14ac:dyDescent="0.45">
      <c r="A59">
        <v>2022</v>
      </c>
      <c r="B59" t="s">
        <v>12</v>
      </c>
      <c r="C59">
        <v>692</v>
      </c>
      <c r="D59">
        <v>300</v>
      </c>
      <c r="E59" t="s">
        <v>39</v>
      </c>
      <c r="F59" t="s">
        <v>9</v>
      </c>
      <c r="G59">
        <v>185506</v>
      </c>
    </row>
    <row r="60" spans="1:7" x14ac:dyDescent="0.45">
      <c r="A60">
        <v>2021</v>
      </c>
      <c r="B60" t="s">
        <v>25</v>
      </c>
      <c r="C60">
        <v>156</v>
      </c>
      <c r="D60">
        <v>54</v>
      </c>
      <c r="E60" t="s">
        <v>40</v>
      </c>
      <c r="F60" t="s">
        <v>11</v>
      </c>
      <c r="G60">
        <v>524939</v>
      </c>
    </row>
    <row r="61" spans="1:7" x14ac:dyDescent="0.45">
      <c r="A61">
        <v>2022</v>
      </c>
      <c r="B61" t="s">
        <v>7</v>
      </c>
      <c r="C61">
        <v>795</v>
      </c>
      <c r="D61">
        <v>469</v>
      </c>
      <c r="E61" t="s">
        <v>40</v>
      </c>
      <c r="F61" t="s">
        <v>15</v>
      </c>
      <c r="G61">
        <v>612550</v>
      </c>
    </row>
    <row r="62" spans="1:7" x14ac:dyDescent="0.45">
      <c r="A62">
        <v>2023</v>
      </c>
      <c r="B62" t="s">
        <v>12</v>
      </c>
      <c r="C62">
        <v>168</v>
      </c>
      <c r="D62">
        <v>97</v>
      </c>
      <c r="E62" t="s">
        <v>40</v>
      </c>
      <c r="F62" t="s">
        <v>30</v>
      </c>
      <c r="G62">
        <v>526794</v>
      </c>
    </row>
    <row r="63" spans="1:7" x14ac:dyDescent="0.45">
      <c r="A63">
        <v>2022</v>
      </c>
      <c r="B63" t="s">
        <v>25</v>
      </c>
      <c r="C63">
        <v>930</v>
      </c>
      <c r="D63">
        <v>563</v>
      </c>
      <c r="E63" t="s">
        <v>41</v>
      </c>
      <c r="F63" t="s">
        <v>19</v>
      </c>
      <c r="G63">
        <v>585294</v>
      </c>
    </row>
    <row r="64" spans="1:7" x14ac:dyDescent="0.45">
      <c r="A64">
        <v>2021</v>
      </c>
      <c r="B64" t="s">
        <v>10</v>
      </c>
      <c r="C64">
        <v>342</v>
      </c>
      <c r="D64">
        <v>968</v>
      </c>
      <c r="E64" t="s">
        <v>41</v>
      </c>
      <c r="F64" t="s">
        <v>34</v>
      </c>
      <c r="G64">
        <v>466947</v>
      </c>
    </row>
    <row r="65" spans="1:7" x14ac:dyDescent="0.45">
      <c r="A65">
        <v>2023</v>
      </c>
      <c r="B65" t="s">
        <v>28</v>
      </c>
      <c r="C65">
        <v>784</v>
      </c>
      <c r="D65">
        <v>540</v>
      </c>
      <c r="E65" t="s">
        <v>41</v>
      </c>
      <c r="F65" t="s">
        <v>19</v>
      </c>
      <c r="G65">
        <v>491219</v>
      </c>
    </row>
    <row r="66" spans="1:7" x14ac:dyDescent="0.45">
      <c r="A66">
        <v>2021</v>
      </c>
      <c r="B66" t="s">
        <v>25</v>
      </c>
      <c r="C66">
        <v>515</v>
      </c>
      <c r="D66">
        <v>210</v>
      </c>
      <c r="E66" t="s">
        <v>42</v>
      </c>
      <c r="F66" t="s">
        <v>30</v>
      </c>
      <c r="G66">
        <v>482446</v>
      </c>
    </row>
    <row r="67" spans="1:7" x14ac:dyDescent="0.45">
      <c r="A67">
        <v>2022</v>
      </c>
      <c r="B67" t="s">
        <v>20</v>
      </c>
      <c r="C67">
        <v>312</v>
      </c>
      <c r="D67">
        <v>983</v>
      </c>
      <c r="E67" t="s">
        <v>42</v>
      </c>
      <c r="F67" t="s">
        <v>22</v>
      </c>
      <c r="G67">
        <v>138432</v>
      </c>
    </row>
    <row r="68" spans="1:7" x14ac:dyDescent="0.45">
      <c r="A68">
        <v>2023</v>
      </c>
      <c r="B68" t="s">
        <v>27</v>
      </c>
      <c r="C68">
        <v>403</v>
      </c>
      <c r="D68">
        <v>953</v>
      </c>
      <c r="E68" t="s">
        <v>42</v>
      </c>
      <c r="F68" t="s">
        <v>19</v>
      </c>
      <c r="G68">
        <v>566350</v>
      </c>
    </row>
    <row r="69" spans="1:7" x14ac:dyDescent="0.45">
      <c r="A69">
        <v>2024</v>
      </c>
      <c r="B69" t="s">
        <v>14</v>
      </c>
      <c r="C69">
        <v>692</v>
      </c>
      <c r="D69">
        <v>300</v>
      </c>
      <c r="E69" t="s">
        <v>42</v>
      </c>
      <c r="F69" t="s">
        <v>11</v>
      </c>
      <c r="G69">
        <v>173427</v>
      </c>
    </row>
    <row r="70" spans="1:7" x14ac:dyDescent="0.45">
      <c r="A70">
        <v>2024</v>
      </c>
      <c r="B70" t="s">
        <v>25</v>
      </c>
      <c r="C70">
        <v>597</v>
      </c>
      <c r="D70">
        <v>287</v>
      </c>
      <c r="E70" t="s">
        <v>43</v>
      </c>
      <c r="F70" t="s">
        <v>9</v>
      </c>
      <c r="G70">
        <v>693425</v>
      </c>
    </row>
    <row r="71" spans="1:7" x14ac:dyDescent="0.45">
      <c r="A71">
        <v>2023</v>
      </c>
      <c r="B71" t="s">
        <v>25</v>
      </c>
      <c r="C71">
        <v>839</v>
      </c>
      <c r="D71">
        <v>334</v>
      </c>
      <c r="E71" t="s">
        <v>43</v>
      </c>
      <c r="F71" t="s">
        <v>19</v>
      </c>
      <c r="G71">
        <v>483679</v>
      </c>
    </row>
    <row r="72" spans="1:7" x14ac:dyDescent="0.45">
      <c r="A72">
        <v>2021</v>
      </c>
      <c r="B72" t="s">
        <v>7</v>
      </c>
      <c r="C72">
        <v>873</v>
      </c>
      <c r="D72">
        <v>287</v>
      </c>
      <c r="E72" t="s">
        <v>43</v>
      </c>
      <c r="F72" t="s">
        <v>15</v>
      </c>
      <c r="G72">
        <v>692508</v>
      </c>
    </row>
    <row r="73" spans="1:7" x14ac:dyDescent="0.45">
      <c r="A73">
        <v>2022</v>
      </c>
      <c r="B73" t="s">
        <v>12</v>
      </c>
      <c r="C73">
        <v>413</v>
      </c>
      <c r="D73">
        <v>930</v>
      </c>
      <c r="E73" t="s">
        <v>43</v>
      </c>
      <c r="F73" t="s">
        <v>9</v>
      </c>
      <c r="G73">
        <v>185506</v>
      </c>
    </row>
    <row r="74" spans="1:7" x14ac:dyDescent="0.45">
      <c r="A74">
        <v>2024</v>
      </c>
      <c r="B74" t="s">
        <v>18</v>
      </c>
      <c r="C74">
        <v>930</v>
      </c>
      <c r="D74">
        <v>563</v>
      </c>
      <c r="E74" t="s">
        <v>44</v>
      </c>
      <c r="F74" t="s">
        <v>19</v>
      </c>
      <c r="G74">
        <v>643429</v>
      </c>
    </row>
    <row r="75" spans="1:7" x14ac:dyDescent="0.45">
      <c r="A75">
        <v>2023</v>
      </c>
      <c r="B75" t="s">
        <v>18</v>
      </c>
      <c r="C75">
        <v>577</v>
      </c>
      <c r="D75">
        <v>175</v>
      </c>
      <c r="E75" t="s">
        <v>44</v>
      </c>
      <c r="F75" t="s">
        <v>9</v>
      </c>
      <c r="G75">
        <v>642616</v>
      </c>
    </row>
    <row r="76" spans="1:7" x14ac:dyDescent="0.45">
      <c r="A76">
        <v>2021</v>
      </c>
      <c r="B76" t="s">
        <v>28</v>
      </c>
      <c r="C76">
        <v>499</v>
      </c>
      <c r="D76">
        <v>568</v>
      </c>
      <c r="E76" t="s">
        <v>44</v>
      </c>
      <c r="F76" t="s">
        <v>34</v>
      </c>
      <c r="G76">
        <v>949329</v>
      </c>
    </row>
    <row r="77" spans="1:7" x14ac:dyDescent="0.45">
      <c r="A77">
        <v>2022</v>
      </c>
      <c r="B77" t="s">
        <v>12</v>
      </c>
      <c r="C77">
        <v>403</v>
      </c>
      <c r="D77">
        <v>953</v>
      </c>
      <c r="E77" t="s">
        <v>44</v>
      </c>
      <c r="F77" t="s">
        <v>19</v>
      </c>
      <c r="G77">
        <v>513592</v>
      </c>
    </row>
    <row r="78" spans="1:7" x14ac:dyDescent="0.45">
      <c r="A78">
        <v>2023</v>
      </c>
      <c r="B78" t="s">
        <v>10</v>
      </c>
      <c r="C78">
        <v>577</v>
      </c>
      <c r="D78">
        <v>175</v>
      </c>
      <c r="E78" t="s">
        <v>45</v>
      </c>
      <c r="F78" t="s">
        <v>11</v>
      </c>
      <c r="G78">
        <v>1019351</v>
      </c>
    </row>
    <row r="79" spans="1:7" x14ac:dyDescent="0.45">
      <c r="A79">
        <v>2022</v>
      </c>
      <c r="B79" t="s">
        <v>27</v>
      </c>
      <c r="C79">
        <v>93</v>
      </c>
      <c r="D79">
        <v>852</v>
      </c>
      <c r="E79" t="s">
        <v>45</v>
      </c>
      <c r="F79" t="s">
        <v>11</v>
      </c>
      <c r="G79">
        <v>878315</v>
      </c>
    </row>
    <row r="80" spans="1:7" x14ac:dyDescent="0.45">
      <c r="A80">
        <v>2024</v>
      </c>
      <c r="B80" t="s">
        <v>12</v>
      </c>
      <c r="C80">
        <v>930</v>
      </c>
      <c r="D80">
        <v>563</v>
      </c>
      <c r="E80" t="s">
        <v>45</v>
      </c>
      <c r="F80" t="s">
        <v>13</v>
      </c>
      <c r="G80">
        <v>1100353</v>
      </c>
    </row>
    <row r="81" spans="1:7" x14ac:dyDescent="0.45">
      <c r="A81">
        <v>2021</v>
      </c>
      <c r="B81" t="s">
        <v>14</v>
      </c>
      <c r="C81">
        <v>461</v>
      </c>
      <c r="D81">
        <v>615</v>
      </c>
      <c r="E81" t="s">
        <v>45</v>
      </c>
      <c r="F81" t="s">
        <v>11</v>
      </c>
      <c r="G81">
        <v>349305</v>
      </c>
    </row>
    <row r="82" spans="1:7" x14ac:dyDescent="0.45">
      <c r="A82">
        <v>2021</v>
      </c>
      <c r="B82" t="s">
        <v>16</v>
      </c>
      <c r="C82">
        <v>590</v>
      </c>
      <c r="D82">
        <v>268</v>
      </c>
      <c r="E82" t="s">
        <v>46</v>
      </c>
      <c r="F82" t="s">
        <v>11</v>
      </c>
      <c r="G82">
        <v>429470</v>
      </c>
    </row>
    <row r="83" spans="1:7" x14ac:dyDescent="0.45">
      <c r="A83">
        <v>2022</v>
      </c>
      <c r="B83" t="s">
        <v>18</v>
      </c>
      <c r="C83">
        <v>795</v>
      </c>
      <c r="D83">
        <v>469</v>
      </c>
      <c r="E83" t="s">
        <v>46</v>
      </c>
      <c r="F83" t="s">
        <v>22</v>
      </c>
      <c r="G83">
        <v>417552</v>
      </c>
    </row>
    <row r="84" spans="1:7" x14ac:dyDescent="0.45">
      <c r="A84">
        <v>2024</v>
      </c>
      <c r="B84" t="s">
        <v>7</v>
      </c>
      <c r="C84">
        <v>403</v>
      </c>
      <c r="D84">
        <v>953</v>
      </c>
      <c r="E84" t="s">
        <v>46</v>
      </c>
      <c r="F84" t="s">
        <v>30</v>
      </c>
      <c r="G84">
        <v>523110</v>
      </c>
    </row>
    <row r="85" spans="1:7" x14ac:dyDescent="0.45">
      <c r="A85">
        <v>2023</v>
      </c>
      <c r="B85" t="s">
        <v>14</v>
      </c>
      <c r="C85">
        <v>312</v>
      </c>
      <c r="D85">
        <v>983</v>
      </c>
      <c r="E85" t="s">
        <v>46</v>
      </c>
      <c r="F85" t="s">
        <v>19</v>
      </c>
      <c r="G85">
        <v>972776</v>
      </c>
    </row>
    <row r="86" spans="1:7" x14ac:dyDescent="0.45">
      <c r="A86">
        <v>2021</v>
      </c>
      <c r="B86" t="s">
        <v>27</v>
      </c>
      <c r="C86">
        <v>256</v>
      </c>
      <c r="D86">
        <v>839</v>
      </c>
      <c r="E86" t="s">
        <v>47</v>
      </c>
      <c r="F86" t="s">
        <v>19</v>
      </c>
      <c r="G86">
        <v>1102130</v>
      </c>
    </row>
    <row r="87" spans="1:7" x14ac:dyDescent="0.45">
      <c r="A87">
        <v>2023</v>
      </c>
      <c r="B87" t="s">
        <v>28</v>
      </c>
      <c r="C87">
        <v>597</v>
      </c>
      <c r="D87">
        <v>287</v>
      </c>
      <c r="E87" t="s">
        <v>47</v>
      </c>
      <c r="F87" t="s">
        <v>15</v>
      </c>
      <c r="G87">
        <v>466324</v>
      </c>
    </row>
    <row r="88" spans="1:7" x14ac:dyDescent="0.45">
      <c r="A88">
        <v>2022</v>
      </c>
      <c r="B88" t="s">
        <v>14</v>
      </c>
      <c r="C88">
        <v>692</v>
      </c>
      <c r="D88">
        <v>300</v>
      </c>
      <c r="E88" t="s">
        <v>47</v>
      </c>
      <c r="F88" t="s">
        <v>11</v>
      </c>
      <c r="G88">
        <v>801894</v>
      </c>
    </row>
    <row r="89" spans="1:7" x14ac:dyDescent="0.45">
      <c r="A89">
        <v>2022</v>
      </c>
      <c r="B89" t="s">
        <v>16</v>
      </c>
      <c r="C89">
        <v>403</v>
      </c>
      <c r="D89">
        <v>953</v>
      </c>
      <c r="E89" t="s">
        <v>48</v>
      </c>
      <c r="F89" t="s">
        <v>30</v>
      </c>
      <c r="G89">
        <v>907777</v>
      </c>
    </row>
    <row r="90" spans="1:7" x14ac:dyDescent="0.45">
      <c r="A90">
        <v>2024</v>
      </c>
      <c r="B90" t="s">
        <v>18</v>
      </c>
      <c r="C90">
        <v>597</v>
      </c>
      <c r="D90">
        <v>287</v>
      </c>
      <c r="E90" t="s">
        <v>48</v>
      </c>
      <c r="F90" t="s">
        <v>30</v>
      </c>
      <c r="G90">
        <v>1340766</v>
      </c>
    </row>
    <row r="91" spans="1:7" x14ac:dyDescent="0.45">
      <c r="A91">
        <v>2024</v>
      </c>
      <c r="B91" t="s">
        <v>10</v>
      </c>
      <c r="C91">
        <v>597</v>
      </c>
      <c r="D91">
        <v>287</v>
      </c>
      <c r="E91" t="s">
        <v>48</v>
      </c>
      <c r="F91" t="s">
        <v>9</v>
      </c>
      <c r="G91">
        <v>1137264</v>
      </c>
    </row>
    <row r="92" spans="1:7" x14ac:dyDescent="0.45">
      <c r="A92">
        <v>2023</v>
      </c>
      <c r="B92" t="s">
        <v>10</v>
      </c>
      <c r="C92">
        <v>692</v>
      </c>
      <c r="D92">
        <v>300</v>
      </c>
      <c r="E92" t="s">
        <v>48</v>
      </c>
      <c r="F92" t="s">
        <v>11</v>
      </c>
      <c r="G92">
        <v>612550</v>
      </c>
    </row>
    <row r="93" spans="1:7" x14ac:dyDescent="0.45">
      <c r="A93">
        <v>2021</v>
      </c>
      <c r="B93" t="s">
        <v>14</v>
      </c>
      <c r="C93">
        <v>166</v>
      </c>
      <c r="D93">
        <v>934</v>
      </c>
      <c r="E93" t="s">
        <v>48</v>
      </c>
      <c r="F93" t="s">
        <v>19</v>
      </c>
      <c r="G93">
        <v>819636</v>
      </c>
    </row>
    <row r="94" spans="1:7" x14ac:dyDescent="0.45">
      <c r="A94">
        <v>2023</v>
      </c>
      <c r="B94" t="s">
        <v>25</v>
      </c>
      <c r="C94">
        <v>839</v>
      </c>
      <c r="D94">
        <v>334</v>
      </c>
      <c r="E94" t="s">
        <v>49</v>
      </c>
      <c r="F94" t="s">
        <v>13</v>
      </c>
      <c r="G94">
        <v>405587</v>
      </c>
    </row>
    <row r="95" spans="1:7" x14ac:dyDescent="0.45">
      <c r="A95">
        <v>2021</v>
      </c>
      <c r="B95" t="s">
        <v>18</v>
      </c>
      <c r="C95">
        <v>299</v>
      </c>
      <c r="D95">
        <v>975</v>
      </c>
      <c r="E95" t="s">
        <v>49</v>
      </c>
      <c r="F95" t="s">
        <v>13</v>
      </c>
      <c r="G95">
        <v>786367</v>
      </c>
    </row>
    <row r="96" spans="1:7" x14ac:dyDescent="0.45">
      <c r="A96">
        <v>2024</v>
      </c>
      <c r="B96" t="s">
        <v>7</v>
      </c>
      <c r="C96">
        <v>210</v>
      </c>
      <c r="D96">
        <v>177</v>
      </c>
      <c r="E96" t="s">
        <v>49</v>
      </c>
      <c r="F96" t="s">
        <v>19</v>
      </c>
      <c r="G96">
        <v>611409</v>
      </c>
    </row>
    <row r="97" spans="1:7" x14ac:dyDescent="0.45">
      <c r="A97">
        <v>2022</v>
      </c>
      <c r="B97" t="s">
        <v>27</v>
      </c>
      <c r="C97">
        <v>968</v>
      </c>
      <c r="D97">
        <v>330</v>
      </c>
      <c r="E97" t="s">
        <v>49</v>
      </c>
      <c r="F97" t="s">
        <v>11</v>
      </c>
      <c r="G97">
        <v>488034</v>
      </c>
    </row>
    <row r="98" spans="1:7" x14ac:dyDescent="0.45">
      <c r="A98">
        <v>2021</v>
      </c>
      <c r="B98" t="s">
        <v>18</v>
      </c>
      <c r="C98">
        <v>774</v>
      </c>
      <c r="D98">
        <v>33</v>
      </c>
      <c r="E98" t="s">
        <v>50</v>
      </c>
      <c r="F98" t="s">
        <v>19</v>
      </c>
      <c r="G98">
        <v>706171</v>
      </c>
    </row>
    <row r="99" spans="1:7" x14ac:dyDescent="0.45">
      <c r="A99">
        <v>2023</v>
      </c>
      <c r="B99" t="s">
        <v>20</v>
      </c>
      <c r="C99">
        <v>795</v>
      </c>
      <c r="D99">
        <v>469</v>
      </c>
      <c r="E99" t="s">
        <v>50</v>
      </c>
      <c r="F99" t="s">
        <v>19</v>
      </c>
      <c r="G99">
        <v>225676</v>
      </c>
    </row>
    <row r="100" spans="1:7" x14ac:dyDescent="0.45">
      <c r="A100">
        <v>2022</v>
      </c>
      <c r="B100" t="s">
        <v>28</v>
      </c>
      <c r="C100">
        <v>577</v>
      </c>
      <c r="D100">
        <v>175</v>
      </c>
      <c r="E100" t="s">
        <v>50</v>
      </c>
      <c r="F100" t="s">
        <v>19</v>
      </c>
      <c r="G100">
        <v>624863</v>
      </c>
    </row>
    <row r="101" spans="1:7" x14ac:dyDescent="0.45">
      <c r="A101">
        <v>2024</v>
      </c>
      <c r="B101" t="s">
        <v>14</v>
      </c>
      <c r="C101">
        <v>968</v>
      </c>
      <c r="D101">
        <v>330</v>
      </c>
      <c r="E101" t="s">
        <v>50</v>
      </c>
      <c r="F101" t="s">
        <v>11</v>
      </c>
      <c r="G101">
        <v>782829</v>
      </c>
    </row>
    <row r="102" spans="1:7" x14ac:dyDescent="0.45">
      <c r="A102">
        <v>2023</v>
      </c>
      <c r="B102" t="s">
        <v>7</v>
      </c>
      <c r="C102">
        <v>610</v>
      </c>
      <c r="D102">
        <v>970</v>
      </c>
      <c r="E102" t="s">
        <v>51</v>
      </c>
      <c r="F102" t="s">
        <v>19</v>
      </c>
      <c r="G102">
        <v>814604</v>
      </c>
    </row>
    <row r="103" spans="1:7" x14ac:dyDescent="0.45">
      <c r="A103">
        <v>2021</v>
      </c>
      <c r="B103" t="s">
        <v>7</v>
      </c>
      <c r="C103">
        <v>869</v>
      </c>
      <c r="D103">
        <v>930</v>
      </c>
      <c r="E103" t="s">
        <v>51</v>
      </c>
      <c r="F103" t="s">
        <v>34</v>
      </c>
      <c r="G103">
        <v>181082</v>
      </c>
    </row>
    <row r="104" spans="1:7" x14ac:dyDescent="0.45">
      <c r="A104">
        <v>2022</v>
      </c>
      <c r="B104" t="s">
        <v>20</v>
      </c>
      <c r="C104">
        <v>168</v>
      </c>
      <c r="D104">
        <v>97</v>
      </c>
      <c r="E104" t="s">
        <v>51</v>
      </c>
      <c r="F104" t="s">
        <v>22</v>
      </c>
      <c r="G104">
        <v>704532</v>
      </c>
    </row>
    <row r="105" spans="1:7" x14ac:dyDescent="0.45">
      <c r="A105">
        <v>2022</v>
      </c>
      <c r="B105" t="s">
        <v>25</v>
      </c>
      <c r="C105">
        <v>210</v>
      </c>
      <c r="D105">
        <v>177</v>
      </c>
      <c r="E105" t="s">
        <v>52</v>
      </c>
      <c r="F105" t="s">
        <v>34</v>
      </c>
      <c r="G105">
        <v>161066</v>
      </c>
    </row>
    <row r="106" spans="1:7" x14ac:dyDescent="0.45">
      <c r="A106">
        <v>2021</v>
      </c>
      <c r="B106" t="s">
        <v>18</v>
      </c>
      <c r="C106">
        <v>774</v>
      </c>
      <c r="D106">
        <v>33</v>
      </c>
      <c r="E106" t="s">
        <v>52</v>
      </c>
      <c r="F106" t="s">
        <v>19</v>
      </c>
      <c r="G106">
        <v>356908</v>
      </c>
    </row>
    <row r="107" spans="1:7" x14ac:dyDescent="0.45">
      <c r="A107">
        <v>2023</v>
      </c>
      <c r="B107" t="s">
        <v>10</v>
      </c>
      <c r="C107">
        <v>610</v>
      </c>
      <c r="D107">
        <v>970</v>
      </c>
      <c r="E107" t="s">
        <v>52</v>
      </c>
      <c r="F107" t="s">
        <v>22</v>
      </c>
      <c r="G107">
        <v>692508</v>
      </c>
    </row>
    <row r="108" spans="1:7" x14ac:dyDescent="0.45">
      <c r="A108">
        <v>2024</v>
      </c>
      <c r="B108" t="s">
        <v>12</v>
      </c>
      <c r="C108">
        <v>168</v>
      </c>
      <c r="D108">
        <v>97</v>
      </c>
      <c r="E108" t="s">
        <v>52</v>
      </c>
      <c r="F108" t="s">
        <v>15</v>
      </c>
      <c r="G108">
        <v>201783</v>
      </c>
    </row>
    <row r="109" spans="1:7" x14ac:dyDescent="0.45">
      <c r="A109">
        <v>2023</v>
      </c>
      <c r="B109" t="s">
        <v>16</v>
      </c>
      <c r="C109">
        <v>287</v>
      </c>
      <c r="D109">
        <v>744</v>
      </c>
      <c r="E109" t="s">
        <v>53</v>
      </c>
      <c r="F109" t="s">
        <v>30</v>
      </c>
      <c r="G109">
        <v>692508</v>
      </c>
    </row>
    <row r="110" spans="1:7" x14ac:dyDescent="0.45">
      <c r="A110">
        <v>2022</v>
      </c>
      <c r="B110" t="s">
        <v>27</v>
      </c>
      <c r="C110">
        <v>839</v>
      </c>
      <c r="D110">
        <v>983</v>
      </c>
      <c r="E110" t="s">
        <v>53</v>
      </c>
      <c r="F110" t="s">
        <v>15</v>
      </c>
      <c r="G110">
        <v>1044441</v>
      </c>
    </row>
    <row r="111" spans="1:7" x14ac:dyDescent="0.45">
      <c r="A111">
        <v>2024</v>
      </c>
      <c r="B111" t="s">
        <v>28</v>
      </c>
      <c r="C111">
        <v>839</v>
      </c>
      <c r="D111">
        <v>983</v>
      </c>
      <c r="E111" t="s">
        <v>53</v>
      </c>
      <c r="F111" t="s">
        <v>15</v>
      </c>
      <c r="G111">
        <v>1254135</v>
      </c>
    </row>
    <row r="112" spans="1:7" x14ac:dyDescent="0.45">
      <c r="A112">
        <v>2024</v>
      </c>
      <c r="B112" t="s">
        <v>14</v>
      </c>
      <c r="C112">
        <v>568</v>
      </c>
      <c r="D112">
        <v>505</v>
      </c>
      <c r="E112" t="s">
        <v>53</v>
      </c>
      <c r="F112" t="s">
        <v>15</v>
      </c>
      <c r="G112">
        <v>1308476</v>
      </c>
    </row>
    <row r="113" spans="1:7" x14ac:dyDescent="0.45">
      <c r="A113">
        <v>2021</v>
      </c>
      <c r="B113" t="s">
        <v>14</v>
      </c>
      <c r="C113">
        <v>232</v>
      </c>
      <c r="D113">
        <v>351</v>
      </c>
      <c r="E113" t="s">
        <v>53</v>
      </c>
      <c r="F113" t="s">
        <v>15</v>
      </c>
      <c r="G113">
        <v>145079</v>
      </c>
    </row>
    <row r="114" spans="1:7" x14ac:dyDescent="0.45">
      <c r="A114">
        <v>2022</v>
      </c>
      <c r="B114" t="s">
        <v>16</v>
      </c>
      <c r="C114">
        <v>610</v>
      </c>
      <c r="D114">
        <v>970</v>
      </c>
      <c r="E114" t="s">
        <v>54</v>
      </c>
      <c r="F114" t="s">
        <v>30</v>
      </c>
      <c r="G114">
        <v>395730</v>
      </c>
    </row>
    <row r="115" spans="1:7" x14ac:dyDescent="0.45">
      <c r="A115">
        <v>2021</v>
      </c>
      <c r="B115" t="s">
        <v>10</v>
      </c>
      <c r="C115">
        <v>342</v>
      </c>
      <c r="D115">
        <v>968</v>
      </c>
      <c r="E115" t="s">
        <v>54</v>
      </c>
      <c r="F115" t="s">
        <v>34</v>
      </c>
      <c r="G115">
        <v>129596</v>
      </c>
    </row>
    <row r="116" spans="1:7" x14ac:dyDescent="0.45">
      <c r="A116">
        <v>2024</v>
      </c>
      <c r="B116" t="s">
        <v>12</v>
      </c>
      <c r="C116">
        <v>930</v>
      </c>
      <c r="D116">
        <v>563</v>
      </c>
      <c r="E116" t="s">
        <v>54</v>
      </c>
      <c r="F116" t="s">
        <v>23</v>
      </c>
      <c r="G116">
        <v>495771</v>
      </c>
    </row>
    <row r="117" spans="1:7" x14ac:dyDescent="0.45">
      <c r="A117">
        <v>2023</v>
      </c>
      <c r="B117" t="s">
        <v>12</v>
      </c>
      <c r="C117">
        <v>168</v>
      </c>
      <c r="D117">
        <v>97</v>
      </c>
      <c r="E117" t="s">
        <v>54</v>
      </c>
      <c r="F117" t="s">
        <v>30</v>
      </c>
      <c r="G117">
        <v>367728</v>
      </c>
    </row>
    <row r="118" spans="1:7" x14ac:dyDescent="0.45">
      <c r="A118">
        <v>2021</v>
      </c>
      <c r="B118" t="s">
        <v>10</v>
      </c>
      <c r="C118">
        <v>962</v>
      </c>
      <c r="D118">
        <v>28</v>
      </c>
      <c r="E118" t="s">
        <v>55</v>
      </c>
      <c r="F118" t="s">
        <v>15</v>
      </c>
      <c r="G118">
        <v>653988</v>
      </c>
    </row>
    <row r="119" spans="1:7" x14ac:dyDescent="0.45">
      <c r="A119">
        <v>2024</v>
      </c>
      <c r="B119" t="s">
        <v>12</v>
      </c>
      <c r="C119">
        <v>312</v>
      </c>
      <c r="D119">
        <v>983</v>
      </c>
      <c r="E119" t="s">
        <v>55</v>
      </c>
      <c r="F119" t="s">
        <v>15</v>
      </c>
      <c r="G119">
        <v>937711</v>
      </c>
    </row>
    <row r="120" spans="1:7" x14ac:dyDescent="0.45">
      <c r="A120">
        <v>2023</v>
      </c>
      <c r="B120" t="s">
        <v>12</v>
      </c>
      <c r="C120">
        <v>930</v>
      </c>
      <c r="D120">
        <v>563</v>
      </c>
      <c r="E120" t="s">
        <v>55</v>
      </c>
      <c r="F120" t="s">
        <v>34</v>
      </c>
      <c r="G120">
        <v>457304</v>
      </c>
    </row>
    <row r="121" spans="1:7" x14ac:dyDescent="0.45">
      <c r="A121">
        <v>2022</v>
      </c>
      <c r="B121" t="s">
        <v>12</v>
      </c>
      <c r="C121">
        <v>403</v>
      </c>
      <c r="D121">
        <v>953</v>
      </c>
      <c r="E121" t="s">
        <v>55</v>
      </c>
      <c r="F121" t="s">
        <v>19</v>
      </c>
      <c r="G121">
        <v>748492</v>
      </c>
    </row>
    <row r="122" spans="1:7" x14ac:dyDescent="0.45">
      <c r="A122">
        <v>2021</v>
      </c>
      <c r="B122" t="s">
        <v>16</v>
      </c>
      <c r="C122">
        <v>929</v>
      </c>
      <c r="D122">
        <v>590</v>
      </c>
      <c r="E122" t="s">
        <v>56</v>
      </c>
      <c r="F122" t="s">
        <v>34</v>
      </c>
      <c r="G122">
        <v>306653</v>
      </c>
    </row>
    <row r="123" spans="1:7" x14ac:dyDescent="0.45">
      <c r="A123">
        <v>2022</v>
      </c>
      <c r="B123" t="s">
        <v>18</v>
      </c>
      <c r="C123">
        <v>287</v>
      </c>
      <c r="D123">
        <v>744</v>
      </c>
      <c r="E123" t="s">
        <v>56</v>
      </c>
      <c r="F123" t="s">
        <v>23</v>
      </c>
      <c r="G123">
        <v>563342</v>
      </c>
    </row>
    <row r="124" spans="1:7" x14ac:dyDescent="0.45">
      <c r="A124">
        <v>2023</v>
      </c>
      <c r="B124" t="s">
        <v>10</v>
      </c>
      <c r="C124">
        <v>872</v>
      </c>
      <c r="D124">
        <v>249</v>
      </c>
      <c r="E124" t="s">
        <v>56</v>
      </c>
      <c r="F124" t="s">
        <v>11</v>
      </c>
      <c r="G124">
        <v>513714</v>
      </c>
    </row>
    <row r="125" spans="1:7" x14ac:dyDescent="0.45">
      <c r="A125">
        <v>2024</v>
      </c>
      <c r="B125" t="s">
        <v>28</v>
      </c>
      <c r="C125">
        <v>568</v>
      </c>
      <c r="D125">
        <v>505</v>
      </c>
      <c r="E125" t="s">
        <v>56</v>
      </c>
      <c r="F125" t="s">
        <v>23</v>
      </c>
      <c r="G125">
        <v>705754</v>
      </c>
    </row>
    <row r="126" spans="1:7" x14ac:dyDescent="0.45">
      <c r="A126">
        <v>2024</v>
      </c>
      <c r="B126" t="s">
        <v>18</v>
      </c>
      <c r="C126">
        <v>872</v>
      </c>
      <c r="D126">
        <v>249</v>
      </c>
      <c r="E126" t="s">
        <v>57</v>
      </c>
      <c r="F126" t="s">
        <v>34</v>
      </c>
      <c r="G126">
        <v>400913</v>
      </c>
    </row>
    <row r="127" spans="1:7" x14ac:dyDescent="0.45">
      <c r="A127">
        <v>2022</v>
      </c>
      <c r="B127" t="s">
        <v>7</v>
      </c>
      <c r="C127">
        <v>610</v>
      </c>
      <c r="D127">
        <v>970</v>
      </c>
      <c r="E127" t="s">
        <v>57</v>
      </c>
      <c r="F127" t="s">
        <v>11</v>
      </c>
      <c r="G127">
        <v>320014</v>
      </c>
    </row>
    <row r="128" spans="1:7" x14ac:dyDescent="0.45">
      <c r="A128">
        <v>2023</v>
      </c>
      <c r="B128" t="s">
        <v>28</v>
      </c>
      <c r="C128">
        <v>287</v>
      </c>
      <c r="D128">
        <v>744</v>
      </c>
      <c r="E128" t="s">
        <v>57</v>
      </c>
      <c r="F128" t="s">
        <v>34</v>
      </c>
      <c r="G128">
        <v>815624</v>
      </c>
    </row>
    <row r="129" spans="1:7" x14ac:dyDescent="0.45">
      <c r="A129">
        <v>2021</v>
      </c>
      <c r="B129" t="s">
        <v>14</v>
      </c>
      <c r="C129">
        <v>86</v>
      </c>
      <c r="D129">
        <v>232</v>
      </c>
      <c r="E129" t="s">
        <v>57</v>
      </c>
      <c r="F129" t="s">
        <v>13</v>
      </c>
      <c r="G129">
        <v>462946</v>
      </c>
    </row>
    <row r="130" spans="1:7" x14ac:dyDescent="0.45">
      <c r="A130">
        <v>2022</v>
      </c>
      <c r="B130" t="s">
        <v>16</v>
      </c>
      <c r="C130">
        <v>749</v>
      </c>
      <c r="D130">
        <v>648</v>
      </c>
      <c r="E130" t="s">
        <v>58</v>
      </c>
      <c r="F130" t="s">
        <v>30</v>
      </c>
      <c r="G130">
        <v>467300</v>
      </c>
    </row>
    <row r="131" spans="1:7" x14ac:dyDescent="0.45">
      <c r="A131">
        <v>2021</v>
      </c>
      <c r="B131" t="s">
        <v>10</v>
      </c>
      <c r="C131">
        <v>962</v>
      </c>
      <c r="D131">
        <v>28</v>
      </c>
      <c r="E131" t="s">
        <v>58</v>
      </c>
      <c r="F131" t="s">
        <v>15</v>
      </c>
      <c r="G131">
        <v>928877</v>
      </c>
    </row>
    <row r="132" spans="1:7" x14ac:dyDescent="0.45">
      <c r="A132">
        <v>2024</v>
      </c>
      <c r="B132" t="s">
        <v>28</v>
      </c>
      <c r="C132">
        <v>610</v>
      </c>
      <c r="D132">
        <v>970</v>
      </c>
      <c r="E132" t="s">
        <v>58</v>
      </c>
      <c r="F132" t="s">
        <v>34</v>
      </c>
      <c r="G132">
        <v>585434</v>
      </c>
    </row>
    <row r="133" spans="1:7" x14ac:dyDescent="0.45">
      <c r="A133">
        <v>2023</v>
      </c>
      <c r="B133" t="s">
        <v>12</v>
      </c>
      <c r="C133">
        <v>872</v>
      </c>
      <c r="D133">
        <v>249</v>
      </c>
      <c r="E133" t="s">
        <v>58</v>
      </c>
      <c r="F133" t="s">
        <v>34</v>
      </c>
      <c r="G133">
        <v>685441</v>
      </c>
    </row>
    <row r="134" spans="1:7" x14ac:dyDescent="0.45">
      <c r="A134">
        <v>2022</v>
      </c>
      <c r="B134" t="s">
        <v>27</v>
      </c>
      <c r="C134">
        <v>312</v>
      </c>
      <c r="D134">
        <v>983</v>
      </c>
      <c r="E134" t="s">
        <v>59</v>
      </c>
      <c r="F134" t="s">
        <v>15</v>
      </c>
      <c r="G134">
        <v>560104</v>
      </c>
    </row>
    <row r="135" spans="1:7" x14ac:dyDescent="0.45">
      <c r="A135">
        <v>2023</v>
      </c>
      <c r="B135" t="s">
        <v>12</v>
      </c>
      <c r="C135">
        <v>930</v>
      </c>
      <c r="D135">
        <v>563</v>
      </c>
      <c r="E135" t="s">
        <v>59</v>
      </c>
      <c r="F135" t="s">
        <v>13</v>
      </c>
      <c r="G135">
        <v>148080</v>
      </c>
    </row>
    <row r="136" spans="1:7" x14ac:dyDescent="0.45">
      <c r="A136">
        <v>2021</v>
      </c>
      <c r="B136" t="s">
        <v>12</v>
      </c>
      <c r="C136">
        <v>268</v>
      </c>
      <c r="D136">
        <v>118</v>
      </c>
      <c r="E136" t="s">
        <v>59</v>
      </c>
      <c r="F136" t="s">
        <v>23</v>
      </c>
      <c r="G136">
        <v>461137</v>
      </c>
    </row>
    <row r="137" spans="1:7" x14ac:dyDescent="0.45">
      <c r="A137">
        <v>2024</v>
      </c>
      <c r="B137" t="s">
        <v>25</v>
      </c>
      <c r="C137">
        <v>93</v>
      </c>
      <c r="D137">
        <v>852</v>
      </c>
      <c r="E137" t="s">
        <v>60</v>
      </c>
      <c r="F137" t="s">
        <v>11</v>
      </c>
      <c r="G137">
        <v>662396</v>
      </c>
    </row>
    <row r="138" spans="1:7" x14ac:dyDescent="0.45">
      <c r="A138">
        <v>2023</v>
      </c>
      <c r="B138" t="s">
        <v>12</v>
      </c>
      <c r="C138">
        <v>168</v>
      </c>
      <c r="D138">
        <v>97</v>
      </c>
      <c r="E138" t="s">
        <v>60</v>
      </c>
      <c r="F138" t="s">
        <v>30</v>
      </c>
      <c r="G138">
        <v>1115106</v>
      </c>
    </row>
    <row r="139" spans="1:7" x14ac:dyDescent="0.45">
      <c r="A139">
        <v>2022</v>
      </c>
      <c r="B139" t="s">
        <v>12</v>
      </c>
      <c r="C139">
        <v>872</v>
      </c>
      <c r="D139">
        <v>249</v>
      </c>
      <c r="E139" t="s">
        <v>60</v>
      </c>
      <c r="F139" t="s">
        <v>9</v>
      </c>
      <c r="G139">
        <v>185506</v>
      </c>
    </row>
    <row r="140" spans="1:7" x14ac:dyDescent="0.45">
      <c r="A140">
        <v>2021</v>
      </c>
      <c r="B140" t="s">
        <v>14</v>
      </c>
      <c r="C140">
        <v>597</v>
      </c>
      <c r="D140">
        <v>287</v>
      </c>
      <c r="E140" t="s">
        <v>60</v>
      </c>
      <c r="F140" t="s">
        <v>30</v>
      </c>
      <c r="G140">
        <v>186455</v>
      </c>
    </row>
    <row r="141" spans="1:7" x14ac:dyDescent="0.45">
      <c r="A141">
        <v>2021</v>
      </c>
      <c r="B141" t="s">
        <v>25</v>
      </c>
      <c r="C141">
        <v>739</v>
      </c>
      <c r="D141">
        <v>105</v>
      </c>
      <c r="E141" t="s">
        <v>61</v>
      </c>
      <c r="F141" t="s">
        <v>23</v>
      </c>
      <c r="G141">
        <v>439391</v>
      </c>
    </row>
    <row r="142" spans="1:7" x14ac:dyDescent="0.45">
      <c r="A142">
        <v>2022</v>
      </c>
      <c r="B142" t="s">
        <v>12</v>
      </c>
      <c r="C142">
        <v>168</v>
      </c>
      <c r="D142">
        <v>97</v>
      </c>
      <c r="E142" t="s">
        <v>61</v>
      </c>
      <c r="F142" t="s">
        <v>30</v>
      </c>
      <c r="G142">
        <v>539590</v>
      </c>
    </row>
    <row r="143" spans="1:7" x14ac:dyDescent="0.45">
      <c r="A143">
        <v>2024</v>
      </c>
      <c r="B143" t="s">
        <v>14</v>
      </c>
      <c r="C143">
        <v>168</v>
      </c>
      <c r="D143">
        <v>97</v>
      </c>
      <c r="E143" t="s">
        <v>61</v>
      </c>
      <c r="F143" t="s">
        <v>9</v>
      </c>
      <c r="G143">
        <v>675998</v>
      </c>
    </row>
    <row r="144" spans="1:7" x14ac:dyDescent="0.45">
      <c r="A144">
        <v>2023</v>
      </c>
      <c r="B144" t="s">
        <v>14</v>
      </c>
      <c r="C144">
        <v>610</v>
      </c>
      <c r="D144">
        <v>970</v>
      </c>
      <c r="E144" t="s">
        <v>61</v>
      </c>
      <c r="F144" t="s">
        <v>15</v>
      </c>
      <c r="G144">
        <v>911080</v>
      </c>
    </row>
    <row r="145" spans="1:7" x14ac:dyDescent="0.45">
      <c r="A145">
        <v>2023</v>
      </c>
      <c r="B145" t="s">
        <v>20</v>
      </c>
      <c r="C145">
        <v>784</v>
      </c>
      <c r="D145">
        <v>540</v>
      </c>
      <c r="E145" t="s">
        <v>62</v>
      </c>
      <c r="F145" t="s">
        <v>15</v>
      </c>
      <c r="G145">
        <v>972776</v>
      </c>
    </row>
    <row r="146" spans="1:7" x14ac:dyDescent="0.45">
      <c r="A146">
        <v>2024</v>
      </c>
      <c r="B146" t="s">
        <v>10</v>
      </c>
      <c r="C146">
        <v>312</v>
      </c>
      <c r="D146">
        <v>983</v>
      </c>
      <c r="E146" t="s">
        <v>62</v>
      </c>
      <c r="F146" t="s">
        <v>11</v>
      </c>
      <c r="G146">
        <v>827336</v>
      </c>
    </row>
    <row r="147" spans="1:7" x14ac:dyDescent="0.45">
      <c r="A147">
        <v>2024</v>
      </c>
      <c r="B147" t="s">
        <v>10</v>
      </c>
      <c r="C147">
        <v>93</v>
      </c>
      <c r="D147">
        <v>852</v>
      </c>
      <c r="E147" t="s">
        <v>62</v>
      </c>
      <c r="F147" t="s">
        <v>11</v>
      </c>
      <c r="G147">
        <v>1380748</v>
      </c>
    </row>
    <row r="148" spans="1:7" x14ac:dyDescent="0.45">
      <c r="A148">
        <v>2024</v>
      </c>
      <c r="B148" t="s">
        <v>14</v>
      </c>
      <c r="C148">
        <v>577</v>
      </c>
      <c r="D148">
        <v>175</v>
      </c>
      <c r="E148" t="s">
        <v>62</v>
      </c>
      <c r="F148" t="s">
        <v>15</v>
      </c>
      <c r="G148">
        <v>1178975</v>
      </c>
    </row>
    <row r="149" spans="1:7" x14ac:dyDescent="0.45">
      <c r="A149">
        <v>2022</v>
      </c>
      <c r="B149" t="s">
        <v>14</v>
      </c>
      <c r="C149">
        <v>597</v>
      </c>
      <c r="D149">
        <v>287</v>
      </c>
      <c r="E149" t="s">
        <v>62</v>
      </c>
      <c r="F149" t="s">
        <v>22</v>
      </c>
      <c r="G149">
        <v>941072</v>
      </c>
    </row>
    <row r="150" spans="1:7" x14ac:dyDescent="0.45">
      <c r="A150">
        <v>2021</v>
      </c>
      <c r="B150" t="s">
        <v>14</v>
      </c>
      <c r="C150">
        <v>61</v>
      </c>
      <c r="D150">
        <v>28</v>
      </c>
      <c r="E150" t="s">
        <v>62</v>
      </c>
      <c r="F150" t="s">
        <v>11</v>
      </c>
      <c r="G150">
        <v>396397</v>
      </c>
    </row>
    <row r="151" spans="1:7" x14ac:dyDescent="0.45">
      <c r="A151">
        <v>2021</v>
      </c>
      <c r="B151" t="s">
        <v>25</v>
      </c>
      <c r="C151">
        <v>479</v>
      </c>
      <c r="D151">
        <v>934</v>
      </c>
      <c r="E151" t="s">
        <v>63</v>
      </c>
      <c r="F151" t="s">
        <v>34</v>
      </c>
      <c r="G151">
        <v>1001880</v>
      </c>
    </row>
    <row r="152" spans="1:7" x14ac:dyDescent="0.45">
      <c r="A152">
        <v>2022</v>
      </c>
      <c r="B152" t="s">
        <v>18</v>
      </c>
      <c r="C152">
        <v>795</v>
      </c>
      <c r="D152">
        <v>469</v>
      </c>
      <c r="E152" t="s">
        <v>63</v>
      </c>
      <c r="F152" t="s">
        <v>22</v>
      </c>
      <c r="G152">
        <v>371324</v>
      </c>
    </row>
    <row r="153" spans="1:7" x14ac:dyDescent="0.45">
      <c r="A153">
        <v>2024</v>
      </c>
      <c r="B153" t="s">
        <v>27</v>
      </c>
      <c r="C153">
        <v>872</v>
      </c>
      <c r="D153">
        <v>249</v>
      </c>
      <c r="E153" t="s">
        <v>63</v>
      </c>
      <c r="F153" t="s">
        <v>9</v>
      </c>
      <c r="G153">
        <v>465195</v>
      </c>
    </row>
    <row r="154" spans="1:7" x14ac:dyDescent="0.45">
      <c r="A154">
        <v>2023</v>
      </c>
      <c r="B154" t="s">
        <v>14</v>
      </c>
      <c r="C154">
        <v>168</v>
      </c>
      <c r="D154">
        <v>97</v>
      </c>
      <c r="E154" t="s">
        <v>63</v>
      </c>
      <c r="F154" t="s">
        <v>15</v>
      </c>
      <c r="G154">
        <v>764721</v>
      </c>
    </row>
    <row r="155" spans="1:7" x14ac:dyDescent="0.45">
      <c r="A155">
        <v>2021</v>
      </c>
      <c r="B155" t="s">
        <v>25</v>
      </c>
      <c r="C155">
        <v>739</v>
      </c>
      <c r="D155">
        <v>105</v>
      </c>
      <c r="E155" t="s">
        <v>64</v>
      </c>
      <c r="F155" t="s">
        <v>23</v>
      </c>
      <c r="G155">
        <v>712968</v>
      </c>
    </row>
    <row r="156" spans="1:7" x14ac:dyDescent="0.45">
      <c r="A156">
        <v>2022</v>
      </c>
      <c r="B156" t="s">
        <v>27</v>
      </c>
      <c r="C156">
        <v>287</v>
      </c>
      <c r="D156">
        <v>744</v>
      </c>
      <c r="E156" t="s">
        <v>64</v>
      </c>
      <c r="F156" t="s">
        <v>11</v>
      </c>
      <c r="G156">
        <v>366458</v>
      </c>
    </row>
    <row r="157" spans="1:7" x14ac:dyDescent="0.45">
      <c r="A157">
        <v>2023</v>
      </c>
      <c r="B157" t="s">
        <v>28</v>
      </c>
      <c r="C157">
        <v>568</v>
      </c>
      <c r="D157">
        <v>505</v>
      </c>
      <c r="E157" t="s">
        <v>64</v>
      </c>
      <c r="F157" t="s">
        <v>9</v>
      </c>
      <c r="G157">
        <v>685790</v>
      </c>
    </row>
    <row r="158" spans="1:7" x14ac:dyDescent="0.45">
      <c r="A158">
        <v>2024</v>
      </c>
      <c r="B158" t="s">
        <v>12</v>
      </c>
      <c r="C158">
        <v>968</v>
      </c>
      <c r="D158">
        <v>330</v>
      </c>
      <c r="E158" t="s">
        <v>64</v>
      </c>
      <c r="F158" t="s">
        <v>11</v>
      </c>
      <c r="G158">
        <v>459099</v>
      </c>
    </row>
    <row r="159" spans="1:7" x14ac:dyDescent="0.45">
      <c r="A159">
        <v>2023</v>
      </c>
      <c r="B159" t="s">
        <v>25</v>
      </c>
      <c r="C159">
        <v>839</v>
      </c>
      <c r="D159">
        <v>983</v>
      </c>
      <c r="E159" t="s">
        <v>65</v>
      </c>
      <c r="F159" t="s">
        <v>23</v>
      </c>
      <c r="G159">
        <v>170291</v>
      </c>
    </row>
    <row r="160" spans="1:7" x14ac:dyDescent="0.45">
      <c r="A160">
        <v>2024</v>
      </c>
      <c r="B160" t="s">
        <v>18</v>
      </c>
      <c r="C160">
        <v>930</v>
      </c>
      <c r="D160">
        <v>563</v>
      </c>
      <c r="E160" t="s">
        <v>65</v>
      </c>
      <c r="F160" t="s">
        <v>9</v>
      </c>
      <c r="G160">
        <v>605954</v>
      </c>
    </row>
    <row r="161" spans="1:7" x14ac:dyDescent="0.45">
      <c r="A161">
        <v>2022</v>
      </c>
      <c r="B161" t="s">
        <v>7</v>
      </c>
      <c r="C161">
        <v>930</v>
      </c>
      <c r="D161">
        <v>563</v>
      </c>
      <c r="E161" t="s">
        <v>65</v>
      </c>
      <c r="F161" t="s">
        <v>9</v>
      </c>
      <c r="G161">
        <v>185506</v>
      </c>
    </row>
    <row r="162" spans="1:7" x14ac:dyDescent="0.45">
      <c r="A162">
        <v>2024</v>
      </c>
      <c r="B162" t="s">
        <v>12</v>
      </c>
      <c r="C162">
        <v>403</v>
      </c>
      <c r="D162">
        <v>953</v>
      </c>
      <c r="E162" t="s">
        <v>65</v>
      </c>
      <c r="F162" t="s">
        <v>9</v>
      </c>
      <c r="G162">
        <v>1229774</v>
      </c>
    </row>
    <row r="163" spans="1:7" x14ac:dyDescent="0.45">
      <c r="A163">
        <v>2021</v>
      </c>
      <c r="B163" t="s">
        <v>12</v>
      </c>
      <c r="C163">
        <v>957</v>
      </c>
      <c r="D163">
        <v>210</v>
      </c>
      <c r="E163" t="s">
        <v>65</v>
      </c>
      <c r="F163" t="s">
        <v>34</v>
      </c>
      <c r="G163">
        <v>612550</v>
      </c>
    </row>
    <row r="164" spans="1:7" x14ac:dyDescent="0.45">
      <c r="A164">
        <v>2024</v>
      </c>
      <c r="B164" t="s">
        <v>14</v>
      </c>
      <c r="C164">
        <v>403</v>
      </c>
      <c r="D164">
        <v>953</v>
      </c>
      <c r="E164" t="s">
        <v>65</v>
      </c>
      <c r="F164" t="s">
        <v>11</v>
      </c>
      <c r="G164">
        <v>1380748</v>
      </c>
    </row>
    <row r="165" spans="1:7" x14ac:dyDescent="0.45">
      <c r="A165">
        <v>2022</v>
      </c>
      <c r="B165" t="s">
        <v>25</v>
      </c>
      <c r="C165">
        <v>839</v>
      </c>
      <c r="D165">
        <v>334</v>
      </c>
      <c r="E165" t="s">
        <v>66</v>
      </c>
      <c r="F165" t="s">
        <v>19</v>
      </c>
      <c r="G165">
        <v>275794</v>
      </c>
    </row>
    <row r="166" spans="1:7" x14ac:dyDescent="0.45">
      <c r="A166">
        <v>2024</v>
      </c>
      <c r="B166" t="s">
        <v>7</v>
      </c>
      <c r="C166">
        <v>610</v>
      </c>
      <c r="D166">
        <v>970</v>
      </c>
      <c r="E166" t="s">
        <v>66</v>
      </c>
      <c r="F166" t="s">
        <v>13</v>
      </c>
      <c r="G166">
        <v>345515</v>
      </c>
    </row>
    <row r="167" spans="1:7" x14ac:dyDescent="0.45">
      <c r="A167">
        <v>2023</v>
      </c>
      <c r="B167" t="s">
        <v>27</v>
      </c>
      <c r="C167">
        <v>210</v>
      </c>
      <c r="D167">
        <v>177</v>
      </c>
      <c r="E167" t="s">
        <v>66</v>
      </c>
      <c r="F167" t="s">
        <v>15</v>
      </c>
      <c r="G167">
        <v>170051</v>
      </c>
    </row>
    <row r="168" spans="1:7" x14ac:dyDescent="0.45">
      <c r="A168">
        <v>2021</v>
      </c>
      <c r="B168" t="s">
        <v>27</v>
      </c>
      <c r="C168">
        <v>615</v>
      </c>
      <c r="D168">
        <v>851</v>
      </c>
      <c r="E168" t="s">
        <v>66</v>
      </c>
      <c r="F168" t="s">
        <v>11</v>
      </c>
      <c r="G168">
        <v>526794</v>
      </c>
    </row>
    <row r="169" spans="1:7" x14ac:dyDescent="0.45">
      <c r="A169">
        <v>2021</v>
      </c>
      <c r="B169" t="s">
        <v>16</v>
      </c>
      <c r="C169">
        <v>929</v>
      </c>
      <c r="D169">
        <v>590</v>
      </c>
      <c r="E169" t="s">
        <v>67</v>
      </c>
      <c r="F169" t="s">
        <v>34</v>
      </c>
      <c r="G169">
        <v>491219</v>
      </c>
    </row>
    <row r="170" spans="1:7" x14ac:dyDescent="0.45">
      <c r="A170">
        <v>2023</v>
      </c>
      <c r="B170" t="s">
        <v>25</v>
      </c>
      <c r="C170">
        <v>839</v>
      </c>
      <c r="D170">
        <v>983</v>
      </c>
      <c r="E170" t="s">
        <v>67</v>
      </c>
      <c r="F170" t="s">
        <v>11</v>
      </c>
      <c r="G170">
        <v>482446</v>
      </c>
    </row>
    <row r="171" spans="1:7" x14ac:dyDescent="0.45">
      <c r="A171">
        <v>2022</v>
      </c>
      <c r="B171" t="s">
        <v>7</v>
      </c>
      <c r="C171">
        <v>610</v>
      </c>
      <c r="D171">
        <v>970</v>
      </c>
      <c r="E171" t="s">
        <v>67</v>
      </c>
      <c r="F171" t="s">
        <v>11</v>
      </c>
      <c r="G171">
        <v>218204</v>
      </c>
    </row>
    <row r="172" spans="1:7" x14ac:dyDescent="0.45">
      <c r="A172">
        <v>2024</v>
      </c>
      <c r="B172" t="s">
        <v>12</v>
      </c>
      <c r="C172">
        <v>403</v>
      </c>
      <c r="D172">
        <v>953</v>
      </c>
      <c r="E172" t="s">
        <v>67</v>
      </c>
      <c r="F172" t="s">
        <v>23</v>
      </c>
      <c r="G172">
        <v>273365</v>
      </c>
    </row>
    <row r="173" spans="1:7" x14ac:dyDescent="0.45">
      <c r="A173">
        <v>2021</v>
      </c>
      <c r="B173" t="s">
        <v>25</v>
      </c>
      <c r="C173">
        <v>601</v>
      </c>
      <c r="D173">
        <v>413</v>
      </c>
      <c r="E173" t="s">
        <v>68</v>
      </c>
      <c r="F173" t="s">
        <v>19</v>
      </c>
      <c r="G173">
        <v>566350</v>
      </c>
    </row>
    <row r="174" spans="1:7" x14ac:dyDescent="0.45">
      <c r="A174">
        <v>2022</v>
      </c>
      <c r="B174" t="s">
        <v>10</v>
      </c>
      <c r="C174">
        <v>749</v>
      </c>
      <c r="D174">
        <v>648</v>
      </c>
      <c r="E174" t="s">
        <v>68</v>
      </c>
      <c r="F174" t="s">
        <v>11</v>
      </c>
      <c r="G174">
        <v>371189</v>
      </c>
    </row>
    <row r="175" spans="1:7" x14ac:dyDescent="0.45">
      <c r="A175">
        <v>2023</v>
      </c>
      <c r="B175" t="s">
        <v>12</v>
      </c>
      <c r="C175">
        <v>287</v>
      </c>
      <c r="D175">
        <v>744</v>
      </c>
      <c r="E175" t="s">
        <v>68</v>
      </c>
      <c r="F175" t="s">
        <v>13</v>
      </c>
      <c r="G175">
        <v>148080</v>
      </c>
    </row>
    <row r="176" spans="1:7" x14ac:dyDescent="0.45">
      <c r="A176">
        <v>2023</v>
      </c>
      <c r="B176" t="s">
        <v>25</v>
      </c>
      <c r="C176">
        <v>968</v>
      </c>
      <c r="D176">
        <v>330</v>
      </c>
      <c r="E176" t="s">
        <v>69</v>
      </c>
      <c r="F176" t="s">
        <v>19</v>
      </c>
      <c r="G176">
        <v>396397</v>
      </c>
    </row>
    <row r="177" spans="1:7" x14ac:dyDescent="0.45">
      <c r="A177">
        <v>2021</v>
      </c>
      <c r="B177" t="s">
        <v>10</v>
      </c>
      <c r="C177">
        <v>734</v>
      </c>
      <c r="D177">
        <v>568</v>
      </c>
      <c r="E177" t="s">
        <v>69</v>
      </c>
      <c r="F177" t="s">
        <v>30</v>
      </c>
      <c r="G177">
        <v>483679</v>
      </c>
    </row>
    <row r="178" spans="1:7" x14ac:dyDescent="0.45">
      <c r="A178">
        <v>2022</v>
      </c>
      <c r="B178" t="s">
        <v>12</v>
      </c>
      <c r="C178">
        <v>413</v>
      </c>
      <c r="D178">
        <v>930</v>
      </c>
      <c r="E178" t="s">
        <v>69</v>
      </c>
      <c r="F178" t="s">
        <v>9</v>
      </c>
      <c r="G178">
        <v>185506</v>
      </c>
    </row>
    <row r="179" spans="1:7" x14ac:dyDescent="0.45">
      <c r="A179">
        <v>2024</v>
      </c>
      <c r="B179" t="s">
        <v>14</v>
      </c>
      <c r="C179">
        <v>413</v>
      </c>
      <c r="D179">
        <v>930</v>
      </c>
      <c r="E179" t="s">
        <v>69</v>
      </c>
      <c r="F179" t="s">
        <v>11</v>
      </c>
      <c r="G179">
        <v>353740</v>
      </c>
    </row>
    <row r="180" spans="1:7" x14ac:dyDescent="0.45">
      <c r="A180">
        <v>2023</v>
      </c>
      <c r="B180" t="s">
        <v>25</v>
      </c>
      <c r="C180">
        <v>210</v>
      </c>
      <c r="D180">
        <v>177</v>
      </c>
      <c r="E180" t="s">
        <v>70</v>
      </c>
      <c r="F180" t="s">
        <v>19</v>
      </c>
      <c r="G180">
        <v>964759</v>
      </c>
    </row>
    <row r="181" spans="1:7" x14ac:dyDescent="0.45">
      <c r="A181">
        <v>2022</v>
      </c>
      <c r="B181" t="s">
        <v>25</v>
      </c>
      <c r="C181">
        <v>839</v>
      </c>
      <c r="D181">
        <v>334</v>
      </c>
      <c r="E181" t="s">
        <v>70</v>
      </c>
      <c r="F181" t="s">
        <v>19</v>
      </c>
      <c r="G181">
        <v>513714</v>
      </c>
    </row>
    <row r="182" spans="1:7" x14ac:dyDescent="0.45">
      <c r="A182">
        <v>2021</v>
      </c>
      <c r="B182" t="s">
        <v>25</v>
      </c>
      <c r="C182">
        <v>934</v>
      </c>
      <c r="D182">
        <v>75</v>
      </c>
      <c r="E182" t="s">
        <v>70</v>
      </c>
      <c r="F182" t="s">
        <v>9</v>
      </c>
      <c r="G182">
        <v>151026</v>
      </c>
    </row>
    <row r="183" spans="1:7" x14ac:dyDescent="0.45">
      <c r="A183">
        <v>2021</v>
      </c>
      <c r="B183" t="s">
        <v>18</v>
      </c>
      <c r="C183">
        <v>386</v>
      </c>
      <c r="D183">
        <v>287</v>
      </c>
      <c r="E183" t="s">
        <v>71</v>
      </c>
      <c r="F183" t="s">
        <v>13</v>
      </c>
      <c r="G183">
        <v>1019351</v>
      </c>
    </row>
    <row r="184" spans="1:7" x14ac:dyDescent="0.45">
      <c r="A184">
        <v>2022</v>
      </c>
      <c r="B184" t="s">
        <v>10</v>
      </c>
      <c r="C184">
        <v>93</v>
      </c>
      <c r="D184">
        <v>852</v>
      </c>
      <c r="E184" t="s">
        <v>71</v>
      </c>
      <c r="F184" t="s">
        <v>11</v>
      </c>
      <c r="G184">
        <v>801894</v>
      </c>
    </row>
    <row r="185" spans="1:7" x14ac:dyDescent="0.45">
      <c r="A185">
        <v>2023</v>
      </c>
      <c r="B185" t="s">
        <v>28</v>
      </c>
      <c r="C185">
        <v>577</v>
      </c>
      <c r="D185">
        <v>175</v>
      </c>
      <c r="E185" t="s">
        <v>71</v>
      </c>
      <c r="F185" t="s">
        <v>22</v>
      </c>
      <c r="G185">
        <v>660390</v>
      </c>
    </row>
    <row r="186" spans="1:7" x14ac:dyDescent="0.45">
      <c r="A186">
        <v>2022</v>
      </c>
      <c r="B186" t="s">
        <v>25</v>
      </c>
      <c r="C186">
        <v>839</v>
      </c>
      <c r="D186">
        <v>334</v>
      </c>
      <c r="E186" t="s">
        <v>72</v>
      </c>
      <c r="F186" t="s">
        <v>19</v>
      </c>
      <c r="G186">
        <v>437881</v>
      </c>
    </row>
    <row r="187" spans="1:7" x14ac:dyDescent="0.45">
      <c r="A187">
        <v>2023</v>
      </c>
      <c r="B187" t="s">
        <v>18</v>
      </c>
      <c r="C187">
        <v>597</v>
      </c>
      <c r="D187">
        <v>287</v>
      </c>
      <c r="E187" t="s">
        <v>72</v>
      </c>
      <c r="F187" t="s">
        <v>30</v>
      </c>
      <c r="G187">
        <v>275480</v>
      </c>
    </row>
    <row r="188" spans="1:7" x14ac:dyDescent="0.45">
      <c r="A188">
        <v>2024</v>
      </c>
      <c r="B188" t="s">
        <v>12</v>
      </c>
      <c r="C188">
        <v>210</v>
      </c>
      <c r="D188">
        <v>177</v>
      </c>
      <c r="E188" t="s">
        <v>72</v>
      </c>
      <c r="F188" t="s">
        <v>11</v>
      </c>
      <c r="G188">
        <v>548578</v>
      </c>
    </row>
    <row r="189" spans="1:7" x14ac:dyDescent="0.45">
      <c r="A189">
        <v>2021</v>
      </c>
      <c r="B189" t="s">
        <v>12</v>
      </c>
      <c r="C189">
        <v>1000</v>
      </c>
      <c r="D189">
        <v>597</v>
      </c>
      <c r="E189" t="s">
        <v>72</v>
      </c>
      <c r="F189" t="s">
        <v>9</v>
      </c>
      <c r="G189">
        <v>151026</v>
      </c>
    </row>
    <row r="190" spans="1:7" x14ac:dyDescent="0.45">
      <c r="A190">
        <v>2021</v>
      </c>
      <c r="B190" t="s">
        <v>18</v>
      </c>
      <c r="C190">
        <v>774</v>
      </c>
      <c r="D190">
        <v>33</v>
      </c>
      <c r="E190" t="s">
        <v>73</v>
      </c>
      <c r="F190" t="s">
        <v>19</v>
      </c>
      <c r="G190">
        <v>466324</v>
      </c>
    </row>
    <row r="191" spans="1:7" x14ac:dyDescent="0.45">
      <c r="A191">
        <v>2022</v>
      </c>
      <c r="B191" t="s">
        <v>28</v>
      </c>
      <c r="C191">
        <v>568</v>
      </c>
      <c r="D191">
        <v>505</v>
      </c>
      <c r="E191" t="s">
        <v>73</v>
      </c>
      <c r="F191" t="s">
        <v>11</v>
      </c>
      <c r="G191">
        <v>164317</v>
      </c>
    </row>
    <row r="192" spans="1:7" x14ac:dyDescent="0.45">
      <c r="A192">
        <v>2024</v>
      </c>
      <c r="B192" t="s">
        <v>12</v>
      </c>
      <c r="C192">
        <v>610</v>
      </c>
      <c r="D192">
        <v>970</v>
      </c>
      <c r="E192" t="s">
        <v>73</v>
      </c>
      <c r="F192" t="s">
        <v>15</v>
      </c>
      <c r="G192">
        <v>205856</v>
      </c>
    </row>
    <row r="193" spans="1:7" x14ac:dyDescent="0.45">
      <c r="A193">
        <v>2023</v>
      </c>
      <c r="B193" t="s">
        <v>14</v>
      </c>
      <c r="C193">
        <v>839</v>
      </c>
      <c r="D193">
        <v>334</v>
      </c>
      <c r="E193" t="s">
        <v>73</v>
      </c>
      <c r="F193" t="s">
        <v>30</v>
      </c>
      <c r="G193">
        <v>151026</v>
      </c>
    </row>
    <row r="194" spans="1:7" x14ac:dyDescent="0.45">
      <c r="A194">
        <v>2022</v>
      </c>
      <c r="B194" t="s">
        <v>25</v>
      </c>
      <c r="C194">
        <v>968</v>
      </c>
      <c r="D194">
        <v>330</v>
      </c>
      <c r="E194" t="s">
        <v>74</v>
      </c>
      <c r="F194" t="s">
        <v>11</v>
      </c>
      <c r="G194">
        <v>883137</v>
      </c>
    </row>
    <row r="195" spans="1:7" x14ac:dyDescent="0.45">
      <c r="A195">
        <v>2024</v>
      </c>
      <c r="B195" t="s">
        <v>12</v>
      </c>
      <c r="C195">
        <v>839</v>
      </c>
      <c r="D195">
        <v>983</v>
      </c>
      <c r="E195" t="s">
        <v>74</v>
      </c>
      <c r="F195" t="s">
        <v>11</v>
      </c>
      <c r="G195">
        <v>1106395</v>
      </c>
    </row>
    <row r="196" spans="1:7" x14ac:dyDescent="0.45">
      <c r="A196">
        <v>2021</v>
      </c>
      <c r="B196" t="s">
        <v>12</v>
      </c>
      <c r="C196">
        <v>970</v>
      </c>
      <c r="D196">
        <v>616</v>
      </c>
      <c r="E196" t="s">
        <v>74</v>
      </c>
      <c r="F196" t="s">
        <v>9</v>
      </c>
      <c r="G196">
        <v>151026</v>
      </c>
    </row>
    <row r="197" spans="1:7" x14ac:dyDescent="0.45">
      <c r="A197">
        <v>2023</v>
      </c>
      <c r="B197" t="s">
        <v>14</v>
      </c>
      <c r="C197">
        <v>577</v>
      </c>
      <c r="D197">
        <v>175</v>
      </c>
      <c r="E197" t="s">
        <v>74</v>
      </c>
      <c r="F197" t="s">
        <v>34</v>
      </c>
      <c r="G197">
        <v>1055253</v>
      </c>
    </row>
    <row r="198" spans="1:7" x14ac:dyDescent="0.45">
      <c r="A198">
        <v>2021</v>
      </c>
      <c r="B198" t="s">
        <v>16</v>
      </c>
      <c r="C198">
        <v>749</v>
      </c>
      <c r="D198">
        <v>648</v>
      </c>
      <c r="E198" t="s">
        <v>75</v>
      </c>
      <c r="F198" t="s">
        <v>30</v>
      </c>
      <c r="G198">
        <v>405587</v>
      </c>
    </row>
    <row r="199" spans="1:7" x14ac:dyDescent="0.45">
      <c r="A199">
        <v>2024</v>
      </c>
      <c r="B199" t="s">
        <v>18</v>
      </c>
      <c r="C199">
        <v>749</v>
      </c>
      <c r="D199">
        <v>648</v>
      </c>
      <c r="E199" t="s">
        <v>75</v>
      </c>
      <c r="F199" t="s">
        <v>30</v>
      </c>
      <c r="G199">
        <v>1004613</v>
      </c>
    </row>
    <row r="200" spans="1:7" x14ac:dyDescent="0.45">
      <c r="A200">
        <v>2023</v>
      </c>
      <c r="B200" t="s">
        <v>7</v>
      </c>
      <c r="C200">
        <v>287</v>
      </c>
      <c r="D200">
        <v>744</v>
      </c>
      <c r="E200" t="s">
        <v>75</v>
      </c>
      <c r="F200" t="s">
        <v>11</v>
      </c>
      <c r="G200">
        <v>230400</v>
      </c>
    </row>
    <row r="201" spans="1:7" x14ac:dyDescent="0.45">
      <c r="A201">
        <v>2022</v>
      </c>
      <c r="B201" t="s">
        <v>20</v>
      </c>
      <c r="C201">
        <v>610</v>
      </c>
      <c r="D201">
        <v>970</v>
      </c>
      <c r="E201" t="s">
        <v>75</v>
      </c>
      <c r="F201" t="s">
        <v>19</v>
      </c>
      <c r="G201">
        <v>972776</v>
      </c>
    </row>
    <row r="202" spans="1:7" x14ac:dyDescent="0.45">
      <c r="A202">
        <v>2024</v>
      </c>
      <c r="B202" t="s">
        <v>27</v>
      </c>
      <c r="C202">
        <v>577</v>
      </c>
      <c r="D202">
        <v>175</v>
      </c>
      <c r="E202" t="s">
        <v>75</v>
      </c>
      <c r="F202" t="s">
        <v>15</v>
      </c>
      <c r="G202">
        <v>1380748</v>
      </c>
    </row>
    <row r="203" spans="1:7" x14ac:dyDescent="0.45">
      <c r="A203">
        <v>2024</v>
      </c>
      <c r="B203" t="s">
        <v>14</v>
      </c>
      <c r="C203">
        <v>872</v>
      </c>
      <c r="D203">
        <v>249</v>
      </c>
      <c r="E203" t="s">
        <v>75</v>
      </c>
      <c r="F203" t="s">
        <v>30</v>
      </c>
      <c r="G203">
        <v>1218693</v>
      </c>
    </row>
    <row r="204" spans="1:7" x14ac:dyDescent="0.45">
      <c r="A204">
        <v>2021</v>
      </c>
      <c r="B204" t="s">
        <v>16</v>
      </c>
      <c r="C204">
        <v>60</v>
      </c>
      <c r="D204">
        <v>849</v>
      </c>
      <c r="E204" t="s">
        <v>76</v>
      </c>
      <c r="F204" t="s">
        <v>30</v>
      </c>
      <c r="G204">
        <v>225676</v>
      </c>
    </row>
    <row r="205" spans="1:7" x14ac:dyDescent="0.45">
      <c r="A205">
        <v>2023</v>
      </c>
      <c r="B205" t="s">
        <v>7</v>
      </c>
      <c r="C205">
        <v>692</v>
      </c>
      <c r="D205">
        <v>300</v>
      </c>
      <c r="E205" t="s">
        <v>76</v>
      </c>
      <c r="F205" t="s">
        <v>34</v>
      </c>
      <c r="G205">
        <v>199691</v>
      </c>
    </row>
    <row r="206" spans="1:7" x14ac:dyDescent="0.45">
      <c r="A206">
        <v>2022</v>
      </c>
      <c r="B206" t="s">
        <v>20</v>
      </c>
      <c r="C206">
        <v>784</v>
      </c>
      <c r="D206">
        <v>540</v>
      </c>
      <c r="E206" t="s">
        <v>76</v>
      </c>
      <c r="F206" t="s">
        <v>30</v>
      </c>
      <c r="G206">
        <v>117088</v>
      </c>
    </row>
    <row r="207" spans="1:7" x14ac:dyDescent="0.45">
      <c r="A207">
        <v>2024</v>
      </c>
      <c r="B207" t="s">
        <v>12</v>
      </c>
      <c r="C207">
        <v>312</v>
      </c>
      <c r="D207">
        <v>983</v>
      </c>
      <c r="E207" t="s">
        <v>76</v>
      </c>
      <c r="F207" t="s">
        <v>15</v>
      </c>
      <c r="G207">
        <v>146688</v>
      </c>
    </row>
    <row r="208" spans="1:7" x14ac:dyDescent="0.45">
      <c r="A208">
        <v>2024</v>
      </c>
      <c r="B208" t="s">
        <v>16</v>
      </c>
      <c r="C208">
        <v>287</v>
      </c>
      <c r="D208">
        <v>744</v>
      </c>
      <c r="E208" t="s">
        <v>77</v>
      </c>
      <c r="F208" t="s">
        <v>19</v>
      </c>
      <c r="G208">
        <v>488832</v>
      </c>
    </row>
    <row r="209" spans="1:7" x14ac:dyDescent="0.45">
      <c r="A209">
        <v>2023</v>
      </c>
      <c r="B209" t="s">
        <v>16</v>
      </c>
      <c r="C209">
        <v>749</v>
      </c>
      <c r="D209">
        <v>648</v>
      </c>
      <c r="E209" t="s">
        <v>77</v>
      </c>
      <c r="F209" t="s">
        <v>34</v>
      </c>
      <c r="G209">
        <v>343524</v>
      </c>
    </row>
    <row r="210" spans="1:7" x14ac:dyDescent="0.45">
      <c r="A210">
        <v>2022</v>
      </c>
      <c r="B210" t="s">
        <v>7</v>
      </c>
      <c r="C210">
        <v>784</v>
      </c>
      <c r="D210">
        <v>540</v>
      </c>
      <c r="E210" t="s">
        <v>77</v>
      </c>
      <c r="F210" t="s">
        <v>23</v>
      </c>
      <c r="G210">
        <v>390192</v>
      </c>
    </row>
    <row r="211" spans="1:7" x14ac:dyDescent="0.45">
      <c r="A211">
        <v>2021</v>
      </c>
      <c r="B211" t="s">
        <v>20</v>
      </c>
      <c r="C211">
        <v>911</v>
      </c>
      <c r="D211">
        <v>105</v>
      </c>
      <c r="E211" t="s">
        <v>77</v>
      </c>
      <c r="F211" t="s">
        <v>13</v>
      </c>
      <c r="G211">
        <v>814604</v>
      </c>
    </row>
    <row r="212" spans="1:7" x14ac:dyDescent="0.45">
      <c r="A212">
        <v>2023</v>
      </c>
      <c r="B212" t="s">
        <v>7</v>
      </c>
      <c r="C212">
        <v>610</v>
      </c>
      <c r="D212">
        <v>970</v>
      </c>
      <c r="E212" t="s">
        <v>78</v>
      </c>
      <c r="F212" t="s">
        <v>13</v>
      </c>
      <c r="G212">
        <v>148080</v>
      </c>
    </row>
    <row r="213" spans="1:7" x14ac:dyDescent="0.45">
      <c r="A213">
        <v>2022</v>
      </c>
      <c r="B213" t="s">
        <v>12</v>
      </c>
      <c r="C213">
        <v>872</v>
      </c>
      <c r="D213">
        <v>249</v>
      </c>
      <c r="E213" t="s">
        <v>78</v>
      </c>
      <c r="F213" t="s">
        <v>30</v>
      </c>
      <c r="G213">
        <v>304622</v>
      </c>
    </row>
    <row r="214" spans="1:7" x14ac:dyDescent="0.45">
      <c r="A214">
        <v>2021</v>
      </c>
      <c r="B214" t="s">
        <v>12</v>
      </c>
      <c r="C214">
        <v>150</v>
      </c>
      <c r="D214">
        <v>413</v>
      </c>
      <c r="E214" t="s">
        <v>78</v>
      </c>
      <c r="F214" t="s">
        <v>11</v>
      </c>
      <c r="G214">
        <v>692508</v>
      </c>
    </row>
    <row r="215" spans="1:7" x14ac:dyDescent="0.45">
      <c r="A215">
        <v>2024</v>
      </c>
      <c r="B215" t="s">
        <v>14</v>
      </c>
      <c r="C215">
        <v>287</v>
      </c>
      <c r="D215">
        <v>744</v>
      </c>
      <c r="E215" t="s">
        <v>78</v>
      </c>
      <c r="F215" t="s">
        <v>30</v>
      </c>
      <c r="G215">
        <v>381630</v>
      </c>
    </row>
    <row r="216" spans="1:7" x14ac:dyDescent="0.45">
      <c r="A216">
        <v>2024</v>
      </c>
      <c r="B216" t="s">
        <v>7</v>
      </c>
      <c r="C216">
        <v>968</v>
      </c>
      <c r="D216">
        <v>330</v>
      </c>
      <c r="E216" t="s">
        <v>79</v>
      </c>
      <c r="F216" t="s">
        <v>11</v>
      </c>
      <c r="G216">
        <v>528318</v>
      </c>
    </row>
    <row r="217" spans="1:7" x14ac:dyDescent="0.45">
      <c r="A217">
        <v>2023</v>
      </c>
      <c r="B217" t="s">
        <v>7</v>
      </c>
      <c r="C217">
        <v>413</v>
      </c>
      <c r="D217">
        <v>930</v>
      </c>
      <c r="E217" t="s">
        <v>79</v>
      </c>
      <c r="F217" t="s">
        <v>30</v>
      </c>
      <c r="G217">
        <v>352427</v>
      </c>
    </row>
    <row r="218" spans="1:7" x14ac:dyDescent="0.45">
      <c r="A218">
        <v>2024</v>
      </c>
      <c r="B218" t="s">
        <v>10</v>
      </c>
      <c r="C218">
        <v>168</v>
      </c>
      <c r="D218">
        <v>97</v>
      </c>
      <c r="E218" t="s">
        <v>79</v>
      </c>
      <c r="F218" t="s">
        <v>34</v>
      </c>
      <c r="G218">
        <v>6380748</v>
      </c>
    </row>
    <row r="219" spans="1:7" x14ac:dyDescent="0.45">
      <c r="A219">
        <v>2022</v>
      </c>
      <c r="B219" t="s">
        <v>27</v>
      </c>
      <c r="C219">
        <v>968</v>
      </c>
      <c r="D219">
        <v>330</v>
      </c>
      <c r="E219" t="s">
        <v>79</v>
      </c>
      <c r="F219" t="s">
        <v>15</v>
      </c>
      <c r="G219">
        <v>1032643</v>
      </c>
    </row>
    <row r="220" spans="1:7" x14ac:dyDescent="0.45">
      <c r="A220">
        <v>2021</v>
      </c>
      <c r="B220" t="s">
        <v>14</v>
      </c>
      <c r="C220">
        <v>975</v>
      </c>
      <c r="D220">
        <v>282</v>
      </c>
      <c r="E220" t="s">
        <v>79</v>
      </c>
      <c r="F220" t="s">
        <v>15</v>
      </c>
      <c r="G220">
        <v>692508</v>
      </c>
    </row>
    <row r="221" spans="1:7" x14ac:dyDescent="0.45">
      <c r="A221">
        <v>2024</v>
      </c>
      <c r="B221" t="s">
        <v>28</v>
      </c>
      <c r="C221">
        <v>597</v>
      </c>
      <c r="D221">
        <v>287</v>
      </c>
      <c r="E221" t="s">
        <v>80</v>
      </c>
      <c r="F221" t="s">
        <v>23</v>
      </c>
      <c r="G221">
        <v>312211</v>
      </c>
    </row>
    <row r="222" spans="1:7" x14ac:dyDescent="0.45">
      <c r="A222">
        <v>2023</v>
      </c>
      <c r="B222" t="s">
        <v>12</v>
      </c>
      <c r="C222">
        <v>692</v>
      </c>
      <c r="D222">
        <v>300</v>
      </c>
      <c r="E222" t="s">
        <v>80</v>
      </c>
      <c r="F222" t="s">
        <v>15</v>
      </c>
      <c r="G222">
        <v>1029721</v>
      </c>
    </row>
    <row r="223" spans="1:7" x14ac:dyDescent="0.45">
      <c r="A223">
        <v>2022</v>
      </c>
      <c r="B223" t="s">
        <v>12</v>
      </c>
      <c r="C223">
        <v>403</v>
      </c>
      <c r="D223">
        <v>953</v>
      </c>
      <c r="E223" t="s">
        <v>80</v>
      </c>
      <c r="F223" t="s">
        <v>19</v>
      </c>
      <c r="G223">
        <v>249211</v>
      </c>
    </row>
    <row r="224" spans="1:7" x14ac:dyDescent="0.45">
      <c r="A224">
        <v>2021</v>
      </c>
      <c r="B224" t="s">
        <v>12</v>
      </c>
      <c r="C224">
        <v>957</v>
      </c>
      <c r="D224">
        <v>210</v>
      </c>
      <c r="E224" t="s">
        <v>80</v>
      </c>
      <c r="F224" t="s">
        <v>34</v>
      </c>
      <c r="G224">
        <v>367728</v>
      </c>
    </row>
    <row r="225" spans="1:7" x14ac:dyDescent="0.45">
      <c r="A225">
        <v>2021</v>
      </c>
      <c r="B225" t="s">
        <v>20</v>
      </c>
      <c r="C225">
        <v>573</v>
      </c>
      <c r="D225">
        <v>784</v>
      </c>
      <c r="E225" t="s">
        <v>81</v>
      </c>
      <c r="F225" t="s">
        <v>13</v>
      </c>
      <c r="G225">
        <v>457304</v>
      </c>
    </row>
    <row r="226" spans="1:7" x14ac:dyDescent="0.45">
      <c r="A226">
        <v>2023</v>
      </c>
      <c r="B226" t="s">
        <v>12</v>
      </c>
      <c r="C226">
        <v>839</v>
      </c>
      <c r="D226">
        <v>334</v>
      </c>
      <c r="E226" t="s">
        <v>81</v>
      </c>
      <c r="F226" t="s">
        <v>15</v>
      </c>
      <c r="G226">
        <v>521766</v>
      </c>
    </row>
    <row r="227" spans="1:7" x14ac:dyDescent="0.45">
      <c r="A227">
        <v>2022</v>
      </c>
      <c r="B227" t="s">
        <v>14</v>
      </c>
      <c r="C227">
        <v>968</v>
      </c>
      <c r="D227">
        <v>330</v>
      </c>
      <c r="E227" t="s">
        <v>81</v>
      </c>
      <c r="F227" t="s">
        <v>11</v>
      </c>
      <c r="G227">
        <v>836894</v>
      </c>
    </row>
    <row r="228" spans="1:7" x14ac:dyDescent="0.45">
      <c r="A228">
        <v>2021</v>
      </c>
      <c r="B228" t="s">
        <v>25</v>
      </c>
      <c r="C228">
        <v>616</v>
      </c>
      <c r="D228">
        <v>398</v>
      </c>
      <c r="E228" t="s">
        <v>82</v>
      </c>
      <c r="F228" t="s">
        <v>11</v>
      </c>
      <c r="G228">
        <v>513714</v>
      </c>
    </row>
    <row r="229" spans="1:7" x14ac:dyDescent="0.45">
      <c r="A229">
        <v>2022</v>
      </c>
      <c r="B229" t="s">
        <v>20</v>
      </c>
      <c r="C229">
        <v>413</v>
      </c>
      <c r="D229">
        <v>930</v>
      </c>
      <c r="E229" t="s">
        <v>82</v>
      </c>
      <c r="F229" t="s">
        <v>19</v>
      </c>
      <c r="G229">
        <v>185506</v>
      </c>
    </row>
    <row r="230" spans="1:7" x14ac:dyDescent="0.45">
      <c r="A230">
        <v>2023</v>
      </c>
      <c r="B230" t="s">
        <v>28</v>
      </c>
      <c r="C230">
        <v>784</v>
      </c>
      <c r="D230">
        <v>540</v>
      </c>
      <c r="E230" t="s">
        <v>82</v>
      </c>
      <c r="F230" t="s">
        <v>15</v>
      </c>
      <c r="G230">
        <v>954561</v>
      </c>
    </row>
    <row r="231" spans="1:7" x14ac:dyDescent="0.45">
      <c r="A231">
        <v>2023</v>
      </c>
      <c r="B231" t="s">
        <v>16</v>
      </c>
      <c r="C231">
        <v>784</v>
      </c>
      <c r="D231">
        <v>540</v>
      </c>
      <c r="E231" t="s">
        <v>83</v>
      </c>
      <c r="F231" t="s">
        <v>9</v>
      </c>
      <c r="G231">
        <v>166970</v>
      </c>
    </row>
    <row r="232" spans="1:7" x14ac:dyDescent="0.45">
      <c r="A232">
        <v>2024</v>
      </c>
      <c r="B232" t="s">
        <v>25</v>
      </c>
      <c r="C232">
        <v>692</v>
      </c>
      <c r="D232">
        <v>300</v>
      </c>
      <c r="E232" t="s">
        <v>83</v>
      </c>
      <c r="F232" t="s">
        <v>30</v>
      </c>
      <c r="G232">
        <v>592566</v>
      </c>
    </row>
    <row r="233" spans="1:7" x14ac:dyDescent="0.45">
      <c r="A233">
        <v>2022</v>
      </c>
      <c r="B233" t="s">
        <v>28</v>
      </c>
      <c r="C233">
        <v>577</v>
      </c>
      <c r="D233">
        <v>175</v>
      </c>
      <c r="E233" t="s">
        <v>83</v>
      </c>
      <c r="F233" t="s">
        <v>13</v>
      </c>
      <c r="G233">
        <v>472993</v>
      </c>
    </row>
    <row r="234" spans="1:7" x14ac:dyDescent="0.45">
      <c r="A234">
        <v>2021</v>
      </c>
      <c r="B234" t="s">
        <v>14</v>
      </c>
      <c r="C234">
        <v>86</v>
      </c>
      <c r="D234">
        <v>232</v>
      </c>
      <c r="E234" t="s">
        <v>83</v>
      </c>
      <c r="F234" t="s">
        <v>13</v>
      </c>
      <c r="G234">
        <v>815624</v>
      </c>
    </row>
    <row r="235" spans="1:7" x14ac:dyDescent="0.45">
      <c r="A235">
        <v>2021</v>
      </c>
      <c r="B235" t="s">
        <v>18</v>
      </c>
      <c r="C235">
        <v>28</v>
      </c>
      <c r="D235">
        <v>287</v>
      </c>
      <c r="E235" t="s">
        <v>84</v>
      </c>
      <c r="F235" t="s">
        <v>9</v>
      </c>
      <c r="G235">
        <v>151026</v>
      </c>
    </row>
    <row r="236" spans="1:7" x14ac:dyDescent="0.45">
      <c r="A236">
        <v>2022</v>
      </c>
      <c r="B236" t="s">
        <v>20</v>
      </c>
      <c r="C236">
        <v>210</v>
      </c>
      <c r="D236">
        <v>177</v>
      </c>
      <c r="E236" t="s">
        <v>84</v>
      </c>
      <c r="F236" t="s">
        <v>22</v>
      </c>
      <c r="G236">
        <v>819636</v>
      </c>
    </row>
    <row r="237" spans="1:7" x14ac:dyDescent="0.45">
      <c r="A237">
        <v>2023</v>
      </c>
      <c r="B237" t="s">
        <v>27</v>
      </c>
      <c r="C237">
        <v>93</v>
      </c>
      <c r="D237">
        <v>852</v>
      </c>
      <c r="E237" t="s">
        <v>84</v>
      </c>
      <c r="F237" t="s">
        <v>15</v>
      </c>
      <c r="G237">
        <v>951972</v>
      </c>
    </row>
    <row r="238" spans="1:7" x14ac:dyDescent="0.45">
      <c r="A238">
        <v>2024</v>
      </c>
      <c r="B238" t="s">
        <v>16</v>
      </c>
      <c r="C238">
        <v>413</v>
      </c>
      <c r="D238">
        <v>930</v>
      </c>
      <c r="E238" t="s">
        <v>85</v>
      </c>
      <c r="F238" t="s">
        <v>30</v>
      </c>
      <c r="G238">
        <v>657644</v>
      </c>
    </row>
    <row r="239" spans="1:7" x14ac:dyDescent="0.45">
      <c r="A239">
        <v>2023</v>
      </c>
      <c r="B239" t="s">
        <v>25</v>
      </c>
      <c r="C239">
        <v>312</v>
      </c>
      <c r="D239">
        <v>983</v>
      </c>
      <c r="E239" t="s">
        <v>85</v>
      </c>
      <c r="F239" t="s">
        <v>11</v>
      </c>
      <c r="G239">
        <v>123625</v>
      </c>
    </row>
    <row r="240" spans="1:7" x14ac:dyDescent="0.45">
      <c r="A240">
        <v>2022</v>
      </c>
      <c r="B240" t="s">
        <v>10</v>
      </c>
      <c r="C240">
        <v>692</v>
      </c>
      <c r="D240">
        <v>300</v>
      </c>
      <c r="E240" t="s">
        <v>85</v>
      </c>
      <c r="F240" t="s">
        <v>19</v>
      </c>
      <c r="G240">
        <v>524939</v>
      </c>
    </row>
    <row r="241" spans="1:7" x14ac:dyDescent="0.45">
      <c r="A241">
        <v>2021</v>
      </c>
      <c r="B241" t="s">
        <v>14</v>
      </c>
      <c r="C241">
        <v>537</v>
      </c>
      <c r="D241">
        <v>970</v>
      </c>
      <c r="E241" t="s">
        <v>85</v>
      </c>
      <c r="F241" t="s">
        <v>13</v>
      </c>
      <c r="G241">
        <v>148080</v>
      </c>
    </row>
    <row r="242" spans="1:7" x14ac:dyDescent="0.45">
      <c r="A242">
        <v>2023</v>
      </c>
      <c r="B242" t="s">
        <v>25</v>
      </c>
      <c r="C242">
        <v>784</v>
      </c>
      <c r="D242">
        <v>540</v>
      </c>
      <c r="E242" t="s">
        <v>86</v>
      </c>
      <c r="F242" t="s">
        <v>13</v>
      </c>
      <c r="G242">
        <v>148080</v>
      </c>
    </row>
    <row r="243" spans="1:7" x14ac:dyDescent="0.45">
      <c r="A243">
        <v>2024</v>
      </c>
      <c r="B243" t="s">
        <v>7</v>
      </c>
      <c r="C243">
        <v>577</v>
      </c>
      <c r="D243">
        <v>175</v>
      </c>
      <c r="E243" t="s">
        <v>86</v>
      </c>
      <c r="F243" t="s">
        <v>23</v>
      </c>
      <c r="G243">
        <v>584991</v>
      </c>
    </row>
    <row r="244" spans="1:7" x14ac:dyDescent="0.45">
      <c r="A244">
        <v>2021</v>
      </c>
      <c r="B244" t="s">
        <v>7</v>
      </c>
      <c r="C244">
        <v>591</v>
      </c>
      <c r="D244">
        <v>810</v>
      </c>
      <c r="E244" t="s">
        <v>86</v>
      </c>
      <c r="F244" t="s">
        <v>23</v>
      </c>
      <c r="G244">
        <v>1115106</v>
      </c>
    </row>
    <row r="245" spans="1:7" x14ac:dyDescent="0.45">
      <c r="A245">
        <v>2022</v>
      </c>
      <c r="B245" t="s">
        <v>14</v>
      </c>
      <c r="C245">
        <v>597</v>
      </c>
      <c r="D245">
        <v>287</v>
      </c>
      <c r="E245" t="s">
        <v>86</v>
      </c>
      <c r="F245" t="s">
        <v>30</v>
      </c>
      <c r="G245">
        <v>466947</v>
      </c>
    </row>
    <row r="246" spans="1:7" x14ac:dyDescent="0.45">
      <c r="A246">
        <v>2021</v>
      </c>
      <c r="B246" t="s">
        <v>25</v>
      </c>
      <c r="C246">
        <v>601</v>
      </c>
      <c r="D246">
        <v>413</v>
      </c>
      <c r="E246" t="s">
        <v>87</v>
      </c>
      <c r="F246" t="s">
        <v>19</v>
      </c>
      <c r="G246">
        <v>911080</v>
      </c>
    </row>
    <row r="247" spans="1:7" x14ac:dyDescent="0.45">
      <c r="A247">
        <v>2024</v>
      </c>
      <c r="B247" t="s">
        <v>10</v>
      </c>
      <c r="C247">
        <v>692</v>
      </c>
      <c r="D247">
        <v>300</v>
      </c>
      <c r="E247" t="s">
        <v>87</v>
      </c>
      <c r="F247" t="s">
        <v>19</v>
      </c>
      <c r="G247">
        <v>604409</v>
      </c>
    </row>
    <row r="248" spans="1:7" x14ac:dyDescent="0.45">
      <c r="A248">
        <v>2023</v>
      </c>
      <c r="B248" t="s">
        <v>28</v>
      </c>
      <c r="C248">
        <v>784</v>
      </c>
      <c r="D248">
        <v>540</v>
      </c>
      <c r="E248" t="s">
        <v>87</v>
      </c>
      <c r="F248" t="s">
        <v>19</v>
      </c>
      <c r="G248">
        <v>937183</v>
      </c>
    </row>
    <row r="249" spans="1:7" x14ac:dyDescent="0.45">
      <c r="A249">
        <v>2022</v>
      </c>
      <c r="B249" t="s">
        <v>14</v>
      </c>
      <c r="C249">
        <v>577</v>
      </c>
      <c r="D249">
        <v>175</v>
      </c>
      <c r="E249" t="s">
        <v>87</v>
      </c>
      <c r="F249" t="s">
        <v>23</v>
      </c>
      <c r="G249">
        <v>482446</v>
      </c>
    </row>
    <row r="250" spans="1:7" x14ac:dyDescent="0.45">
      <c r="A250">
        <v>2023</v>
      </c>
      <c r="B250" t="s">
        <v>7</v>
      </c>
      <c r="C250">
        <v>610</v>
      </c>
      <c r="D250">
        <v>970</v>
      </c>
      <c r="E250" t="s">
        <v>88</v>
      </c>
      <c r="F250" t="s">
        <v>19</v>
      </c>
      <c r="G250">
        <v>925289</v>
      </c>
    </row>
    <row r="251" spans="1:7" x14ac:dyDescent="0.45">
      <c r="A251">
        <v>2022</v>
      </c>
      <c r="B251" t="s">
        <v>27</v>
      </c>
      <c r="C251">
        <v>210</v>
      </c>
      <c r="D251">
        <v>177</v>
      </c>
      <c r="E251" t="s">
        <v>88</v>
      </c>
      <c r="F251" t="s">
        <v>15</v>
      </c>
      <c r="G251">
        <v>692508</v>
      </c>
    </row>
    <row r="252" spans="1:7" x14ac:dyDescent="0.45">
      <c r="A252">
        <v>2021</v>
      </c>
      <c r="B252" t="s">
        <v>28</v>
      </c>
      <c r="C252">
        <v>351</v>
      </c>
      <c r="D252">
        <v>918</v>
      </c>
      <c r="E252" t="s">
        <v>88</v>
      </c>
      <c r="F252" t="s">
        <v>23</v>
      </c>
      <c r="G252">
        <v>972776</v>
      </c>
    </row>
    <row r="253" spans="1:7" x14ac:dyDescent="0.45">
      <c r="A253">
        <v>2024</v>
      </c>
      <c r="B253" t="s">
        <v>25</v>
      </c>
      <c r="C253">
        <v>287</v>
      </c>
      <c r="D253">
        <v>744</v>
      </c>
      <c r="E253" t="s">
        <v>89</v>
      </c>
      <c r="F253" t="s">
        <v>23</v>
      </c>
      <c r="G253">
        <v>1189320</v>
      </c>
    </row>
    <row r="254" spans="1:7" x14ac:dyDescent="0.45">
      <c r="A254">
        <v>2023</v>
      </c>
      <c r="B254" t="s">
        <v>7</v>
      </c>
      <c r="C254">
        <v>610</v>
      </c>
      <c r="D254">
        <v>970</v>
      </c>
      <c r="E254" t="s">
        <v>89</v>
      </c>
      <c r="F254" t="s">
        <v>22</v>
      </c>
      <c r="G254">
        <v>255250</v>
      </c>
    </row>
    <row r="255" spans="1:7" x14ac:dyDescent="0.45">
      <c r="A255">
        <v>2021</v>
      </c>
      <c r="B255" t="s">
        <v>20</v>
      </c>
      <c r="C255">
        <v>843</v>
      </c>
      <c r="D255">
        <v>839</v>
      </c>
      <c r="E255" t="s">
        <v>89</v>
      </c>
      <c r="F255" t="s">
        <v>11</v>
      </c>
      <c r="G255">
        <v>764721</v>
      </c>
    </row>
    <row r="256" spans="1:7" x14ac:dyDescent="0.45">
      <c r="A256">
        <v>2024</v>
      </c>
      <c r="B256" t="s">
        <v>28</v>
      </c>
      <c r="C256">
        <v>968</v>
      </c>
      <c r="D256">
        <v>330</v>
      </c>
      <c r="E256" t="s">
        <v>89</v>
      </c>
      <c r="F256" t="s">
        <v>11</v>
      </c>
      <c r="G256">
        <v>1210429</v>
      </c>
    </row>
    <row r="257" spans="1:7" x14ac:dyDescent="0.45">
      <c r="A257">
        <v>2024</v>
      </c>
      <c r="B257" t="s">
        <v>12</v>
      </c>
      <c r="C257">
        <v>610</v>
      </c>
      <c r="D257">
        <v>970</v>
      </c>
      <c r="E257" t="s">
        <v>89</v>
      </c>
      <c r="F257" t="s">
        <v>15</v>
      </c>
      <c r="G257">
        <v>1380748</v>
      </c>
    </row>
    <row r="258" spans="1:7" x14ac:dyDescent="0.45">
      <c r="A258">
        <v>2022</v>
      </c>
      <c r="B258" t="s">
        <v>14</v>
      </c>
      <c r="C258">
        <v>872</v>
      </c>
      <c r="D258">
        <v>249</v>
      </c>
      <c r="E258" t="s">
        <v>89</v>
      </c>
      <c r="F258" t="s">
        <v>13</v>
      </c>
      <c r="G258">
        <v>472993</v>
      </c>
    </row>
    <row r="259" spans="1:7" x14ac:dyDescent="0.45">
      <c r="A259">
        <v>2023</v>
      </c>
      <c r="B259" t="s">
        <v>25</v>
      </c>
      <c r="C259">
        <v>968</v>
      </c>
      <c r="D259">
        <v>330</v>
      </c>
      <c r="E259" t="s">
        <v>90</v>
      </c>
      <c r="F259" t="s">
        <v>30</v>
      </c>
      <c r="G259">
        <v>234766</v>
      </c>
    </row>
    <row r="260" spans="1:7" x14ac:dyDescent="0.45">
      <c r="A260">
        <v>2022</v>
      </c>
      <c r="B260" t="s">
        <v>25</v>
      </c>
      <c r="C260">
        <v>413</v>
      </c>
      <c r="D260">
        <v>930</v>
      </c>
      <c r="E260" t="s">
        <v>90</v>
      </c>
      <c r="F260" t="s">
        <v>15</v>
      </c>
      <c r="G260">
        <v>349305</v>
      </c>
    </row>
    <row r="261" spans="1:7" x14ac:dyDescent="0.45">
      <c r="A261">
        <v>2024</v>
      </c>
      <c r="B261" t="s">
        <v>12</v>
      </c>
      <c r="C261">
        <v>413</v>
      </c>
      <c r="D261">
        <v>930</v>
      </c>
      <c r="E261" t="s">
        <v>90</v>
      </c>
      <c r="F261" t="s">
        <v>9</v>
      </c>
      <c r="G261">
        <v>437610</v>
      </c>
    </row>
    <row r="262" spans="1:7" x14ac:dyDescent="0.45">
      <c r="A262">
        <v>2021</v>
      </c>
      <c r="B262" t="s">
        <v>12</v>
      </c>
      <c r="C262">
        <v>970</v>
      </c>
      <c r="D262">
        <v>616</v>
      </c>
      <c r="E262" t="s">
        <v>90</v>
      </c>
      <c r="F262" t="s">
        <v>9</v>
      </c>
      <c r="G262">
        <v>685790</v>
      </c>
    </row>
    <row r="263" spans="1:7" x14ac:dyDescent="0.45">
      <c r="A263">
        <v>2023</v>
      </c>
      <c r="B263" t="s">
        <v>16</v>
      </c>
      <c r="C263">
        <v>839</v>
      </c>
      <c r="D263">
        <v>983</v>
      </c>
      <c r="E263" t="s">
        <v>91</v>
      </c>
      <c r="F263" t="s">
        <v>30</v>
      </c>
      <c r="G263">
        <v>668335</v>
      </c>
    </row>
    <row r="264" spans="1:7" x14ac:dyDescent="0.45">
      <c r="A264">
        <v>2021</v>
      </c>
      <c r="B264" t="s">
        <v>10</v>
      </c>
      <c r="C264">
        <v>871</v>
      </c>
      <c r="D264">
        <v>810</v>
      </c>
      <c r="E264" t="s">
        <v>91</v>
      </c>
      <c r="F264" t="s">
        <v>11</v>
      </c>
      <c r="G264">
        <v>170291</v>
      </c>
    </row>
    <row r="265" spans="1:7" x14ac:dyDescent="0.45">
      <c r="A265">
        <v>2022</v>
      </c>
      <c r="B265" t="s">
        <v>28</v>
      </c>
      <c r="C265">
        <v>577</v>
      </c>
      <c r="D265">
        <v>175</v>
      </c>
      <c r="E265" t="s">
        <v>91</v>
      </c>
      <c r="F265" t="s">
        <v>13</v>
      </c>
      <c r="G265">
        <v>472993</v>
      </c>
    </row>
    <row r="266" spans="1:7" x14ac:dyDescent="0.45">
      <c r="A266">
        <v>2024</v>
      </c>
      <c r="B266" t="s">
        <v>12</v>
      </c>
      <c r="C266">
        <v>287</v>
      </c>
      <c r="D266">
        <v>744</v>
      </c>
      <c r="E266" t="s">
        <v>91</v>
      </c>
      <c r="F266" t="s">
        <v>34</v>
      </c>
      <c r="G266">
        <v>538040</v>
      </c>
    </row>
    <row r="267" spans="1:7" x14ac:dyDescent="0.45">
      <c r="A267">
        <v>2023</v>
      </c>
      <c r="B267" t="s">
        <v>7</v>
      </c>
      <c r="C267">
        <v>597</v>
      </c>
      <c r="D267">
        <v>287</v>
      </c>
      <c r="E267" t="s">
        <v>92</v>
      </c>
      <c r="F267" t="s">
        <v>34</v>
      </c>
      <c r="G267">
        <v>1053598</v>
      </c>
    </row>
    <row r="268" spans="1:7" x14ac:dyDescent="0.45">
      <c r="A268">
        <v>2021</v>
      </c>
      <c r="B268" t="s">
        <v>12</v>
      </c>
      <c r="C268">
        <v>268</v>
      </c>
      <c r="D268">
        <v>118</v>
      </c>
      <c r="E268" t="s">
        <v>92</v>
      </c>
      <c r="F268" t="s">
        <v>23</v>
      </c>
      <c r="G268">
        <v>170051</v>
      </c>
    </row>
    <row r="269" spans="1:7" x14ac:dyDescent="0.45">
      <c r="A269">
        <v>2022</v>
      </c>
      <c r="B269" t="s">
        <v>14</v>
      </c>
      <c r="C269">
        <v>839</v>
      </c>
      <c r="D269">
        <v>334</v>
      </c>
      <c r="E269" t="s">
        <v>92</v>
      </c>
      <c r="F269" t="s">
        <v>19</v>
      </c>
      <c r="G269">
        <v>1102130</v>
      </c>
    </row>
    <row r="270" spans="1:7" x14ac:dyDescent="0.45">
      <c r="A270">
        <v>2022</v>
      </c>
      <c r="B270" t="s">
        <v>18</v>
      </c>
      <c r="C270">
        <v>93</v>
      </c>
      <c r="D270">
        <v>852</v>
      </c>
      <c r="E270" t="s">
        <v>93</v>
      </c>
      <c r="F270" t="s">
        <v>13</v>
      </c>
      <c r="G270">
        <v>472993</v>
      </c>
    </row>
    <row r="271" spans="1:7" x14ac:dyDescent="0.45">
      <c r="A271">
        <v>2023</v>
      </c>
      <c r="B271" t="s">
        <v>7</v>
      </c>
      <c r="C271">
        <v>413</v>
      </c>
      <c r="D271">
        <v>930</v>
      </c>
      <c r="E271" t="s">
        <v>93</v>
      </c>
      <c r="F271" t="s">
        <v>11</v>
      </c>
      <c r="G271">
        <v>972447</v>
      </c>
    </row>
    <row r="272" spans="1:7" x14ac:dyDescent="0.45">
      <c r="A272">
        <v>2021</v>
      </c>
      <c r="B272" t="s">
        <v>7</v>
      </c>
      <c r="C272">
        <v>869</v>
      </c>
      <c r="D272">
        <v>930</v>
      </c>
      <c r="E272" t="s">
        <v>93</v>
      </c>
      <c r="F272" t="s">
        <v>34</v>
      </c>
      <c r="G272">
        <v>482446</v>
      </c>
    </row>
    <row r="273" spans="1:7" x14ac:dyDescent="0.45">
      <c r="A273">
        <v>2022</v>
      </c>
      <c r="B273" t="s">
        <v>7</v>
      </c>
      <c r="C273">
        <v>168</v>
      </c>
      <c r="D273">
        <v>97</v>
      </c>
      <c r="E273" t="s">
        <v>94</v>
      </c>
      <c r="F273" t="s">
        <v>23</v>
      </c>
      <c r="G273">
        <v>786367</v>
      </c>
    </row>
    <row r="274" spans="1:7" x14ac:dyDescent="0.45">
      <c r="A274">
        <v>2023</v>
      </c>
      <c r="B274" t="s">
        <v>27</v>
      </c>
      <c r="C274">
        <v>93</v>
      </c>
      <c r="D274">
        <v>852</v>
      </c>
      <c r="E274" t="s">
        <v>94</v>
      </c>
      <c r="F274" t="s">
        <v>34</v>
      </c>
      <c r="G274">
        <v>635797</v>
      </c>
    </row>
    <row r="275" spans="1:7" x14ac:dyDescent="0.45">
      <c r="A275">
        <v>2021</v>
      </c>
      <c r="B275" t="s">
        <v>28</v>
      </c>
      <c r="C275">
        <v>499</v>
      </c>
      <c r="D275">
        <v>568</v>
      </c>
      <c r="E275" t="s">
        <v>94</v>
      </c>
      <c r="F275" t="s">
        <v>34</v>
      </c>
      <c r="G275">
        <v>567481</v>
      </c>
    </row>
    <row r="276" spans="1:7" x14ac:dyDescent="0.45">
      <c r="A276">
        <v>2024</v>
      </c>
      <c r="B276" t="s">
        <v>12</v>
      </c>
      <c r="C276">
        <v>413</v>
      </c>
      <c r="D276">
        <v>930</v>
      </c>
      <c r="E276" t="s">
        <v>94</v>
      </c>
      <c r="F276" t="s">
        <v>11</v>
      </c>
      <c r="G276">
        <v>985161</v>
      </c>
    </row>
    <row r="277" spans="1:7" x14ac:dyDescent="0.45">
      <c r="A277">
        <v>2021</v>
      </c>
      <c r="B277" t="s">
        <v>16</v>
      </c>
      <c r="C277">
        <v>60</v>
      </c>
      <c r="D277">
        <v>849</v>
      </c>
      <c r="E277" t="s">
        <v>95</v>
      </c>
      <c r="F277" t="s">
        <v>30</v>
      </c>
      <c r="G277">
        <v>396397</v>
      </c>
    </row>
    <row r="278" spans="1:7" x14ac:dyDescent="0.45">
      <c r="A278">
        <v>2024</v>
      </c>
      <c r="B278" t="s">
        <v>18</v>
      </c>
      <c r="C278">
        <v>210</v>
      </c>
      <c r="D278">
        <v>177</v>
      </c>
      <c r="E278" t="s">
        <v>95</v>
      </c>
      <c r="F278" t="s">
        <v>9</v>
      </c>
      <c r="G278">
        <v>884691</v>
      </c>
    </row>
    <row r="279" spans="1:7" x14ac:dyDescent="0.45">
      <c r="A279">
        <v>2023</v>
      </c>
      <c r="B279" t="s">
        <v>28</v>
      </c>
      <c r="C279">
        <v>930</v>
      </c>
      <c r="D279">
        <v>563</v>
      </c>
      <c r="E279" t="s">
        <v>95</v>
      </c>
      <c r="F279" t="s">
        <v>34</v>
      </c>
      <c r="G279">
        <v>185506</v>
      </c>
    </row>
    <row r="280" spans="1:7" x14ac:dyDescent="0.45">
      <c r="A280">
        <v>2022</v>
      </c>
      <c r="B280" t="s">
        <v>12</v>
      </c>
      <c r="C280">
        <v>168</v>
      </c>
      <c r="D280">
        <v>97</v>
      </c>
      <c r="E280" t="s">
        <v>95</v>
      </c>
      <c r="F280" t="s">
        <v>30</v>
      </c>
      <c r="G280">
        <v>706171</v>
      </c>
    </row>
    <row r="281" spans="1:7" x14ac:dyDescent="0.45">
      <c r="A281">
        <v>2021</v>
      </c>
      <c r="B281" t="s">
        <v>16</v>
      </c>
      <c r="C281">
        <v>60</v>
      </c>
      <c r="D281">
        <v>849</v>
      </c>
      <c r="E281" t="s">
        <v>96</v>
      </c>
      <c r="F281" t="s">
        <v>30</v>
      </c>
      <c r="G281">
        <v>186455</v>
      </c>
    </row>
    <row r="282" spans="1:7" x14ac:dyDescent="0.45">
      <c r="A282">
        <v>2023</v>
      </c>
      <c r="B282" t="s">
        <v>18</v>
      </c>
      <c r="C282">
        <v>597</v>
      </c>
      <c r="D282">
        <v>287</v>
      </c>
      <c r="E282" t="s">
        <v>96</v>
      </c>
      <c r="F282" t="s">
        <v>13</v>
      </c>
      <c r="G282">
        <v>148080</v>
      </c>
    </row>
    <row r="283" spans="1:7" x14ac:dyDescent="0.45">
      <c r="A283">
        <v>2022</v>
      </c>
      <c r="B283" t="s">
        <v>10</v>
      </c>
      <c r="C283">
        <v>692</v>
      </c>
      <c r="D283">
        <v>300</v>
      </c>
      <c r="E283" t="s">
        <v>96</v>
      </c>
      <c r="F283" t="s">
        <v>19</v>
      </c>
      <c r="G283">
        <v>181082</v>
      </c>
    </row>
    <row r="284" spans="1:7" x14ac:dyDescent="0.45">
      <c r="A284">
        <v>2024</v>
      </c>
      <c r="B284" t="s">
        <v>14</v>
      </c>
      <c r="C284">
        <v>784</v>
      </c>
      <c r="D284">
        <v>540</v>
      </c>
      <c r="E284" t="s">
        <v>96</v>
      </c>
      <c r="F284" t="s">
        <v>30</v>
      </c>
      <c r="G284">
        <v>226860</v>
      </c>
    </row>
    <row r="285" spans="1:7" x14ac:dyDescent="0.45">
      <c r="A285">
        <v>2023</v>
      </c>
      <c r="B285" t="s">
        <v>25</v>
      </c>
      <c r="C285">
        <v>839</v>
      </c>
      <c r="D285">
        <v>334</v>
      </c>
      <c r="E285" t="s">
        <v>97</v>
      </c>
      <c r="F285" t="s">
        <v>30</v>
      </c>
      <c r="G285">
        <v>396397</v>
      </c>
    </row>
    <row r="286" spans="1:7" x14ac:dyDescent="0.45">
      <c r="A286">
        <v>2022</v>
      </c>
      <c r="B286" t="s">
        <v>25</v>
      </c>
      <c r="C286">
        <v>413</v>
      </c>
      <c r="D286">
        <v>930</v>
      </c>
      <c r="E286" t="s">
        <v>97</v>
      </c>
      <c r="F286" t="s">
        <v>15</v>
      </c>
      <c r="G286">
        <v>356908</v>
      </c>
    </row>
    <row r="287" spans="1:7" x14ac:dyDescent="0.45">
      <c r="A287">
        <v>2021</v>
      </c>
      <c r="B287" t="s">
        <v>27</v>
      </c>
      <c r="C287">
        <v>615</v>
      </c>
      <c r="D287">
        <v>851</v>
      </c>
      <c r="E287" t="s">
        <v>97</v>
      </c>
      <c r="F287" t="s">
        <v>11</v>
      </c>
      <c r="G287">
        <v>660390</v>
      </c>
    </row>
    <row r="288" spans="1:7" x14ac:dyDescent="0.45">
      <c r="A288">
        <v>2024</v>
      </c>
      <c r="B288" t="s">
        <v>14</v>
      </c>
      <c r="C288">
        <v>597</v>
      </c>
      <c r="D288">
        <v>287</v>
      </c>
      <c r="E288" t="s">
        <v>97</v>
      </c>
      <c r="F288" t="s">
        <v>11</v>
      </c>
      <c r="G288">
        <v>447134</v>
      </c>
    </row>
    <row r="289" spans="1:7" x14ac:dyDescent="0.45">
      <c r="A289">
        <v>2023</v>
      </c>
      <c r="B289" t="s">
        <v>25</v>
      </c>
      <c r="C289">
        <v>839</v>
      </c>
      <c r="D289">
        <v>334</v>
      </c>
      <c r="E289" t="s">
        <v>98</v>
      </c>
      <c r="F289" t="s">
        <v>15</v>
      </c>
      <c r="G289">
        <v>1109916</v>
      </c>
    </row>
    <row r="290" spans="1:7" x14ac:dyDescent="0.45">
      <c r="A290">
        <v>2021</v>
      </c>
      <c r="B290" t="s">
        <v>10</v>
      </c>
      <c r="C290">
        <v>734</v>
      </c>
      <c r="D290">
        <v>568</v>
      </c>
      <c r="E290" t="s">
        <v>98</v>
      </c>
      <c r="F290" t="s">
        <v>30</v>
      </c>
      <c r="G290">
        <v>275480</v>
      </c>
    </row>
    <row r="291" spans="1:7" x14ac:dyDescent="0.45">
      <c r="A291">
        <v>2024</v>
      </c>
      <c r="B291" t="s">
        <v>14</v>
      </c>
      <c r="C291">
        <v>168</v>
      </c>
      <c r="D291">
        <v>97</v>
      </c>
      <c r="E291" t="s">
        <v>98</v>
      </c>
      <c r="F291" t="s">
        <v>34</v>
      </c>
      <c r="G291">
        <v>181755</v>
      </c>
    </row>
    <row r="292" spans="1:7" x14ac:dyDescent="0.45">
      <c r="A292">
        <v>2022</v>
      </c>
      <c r="B292" t="s">
        <v>14</v>
      </c>
      <c r="C292">
        <v>403</v>
      </c>
      <c r="D292">
        <v>953</v>
      </c>
      <c r="E292" t="s">
        <v>98</v>
      </c>
      <c r="F292" t="s">
        <v>13</v>
      </c>
      <c r="G292">
        <v>472993</v>
      </c>
    </row>
    <row r="293" spans="1:7" x14ac:dyDescent="0.45">
      <c r="A293">
        <v>2022</v>
      </c>
      <c r="B293" t="s">
        <v>16</v>
      </c>
      <c r="C293">
        <v>930</v>
      </c>
      <c r="D293">
        <v>563</v>
      </c>
      <c r="E293" t="s">
        <v>99</v>
      </c>
      <c r="F293" t="s">
        <v>22</v>
      </c>
      <c r="G293">
        <v>129596</v>
      </c>
    </row>
    <row r="294" spans="1:7" x14ac:dyDescent="0.45">
      <c r="A294">
        <v>2023</v>
      </c>
      <c r="B294" t="s">
        <v>25</v>
      </c>
      <c r="C294">
        <v>210</v>
      </c>
      <c r="D294">
        <v>177</v>
      </c>
      <c r="E294" t="s">
        <v>99</v>
      </c>
      <c r="F294" t="s">
        <v>15</v>
      </c>
      <c r="G294">
        <v>987995</v>
      </c>
    </row>
    <row r="295" spans="1:7" x14ac:dyDescent="0.45">
      <c r="A295">
        <v>2021</v>
      </c>
      <c r="B295" t="s">
        <v>28</v>
      </c>
      <c r="C295">
        <v>98</v>
      </c>
      <c r="D295">
        <v>968</v>
      </c>
      <c r="E295" t="s">
        <v>99</v>
      </c>
      <c r="F295" t="s">
        <v>9</v>
      </c>
      <c r="G295">
        <v>151026</v>
      </c>
    </row>
    <row r="296" spans="1:7" x14ac:dyDescent="0.45">
      <c r="A296">
        <v>2024</v>
      </c>
      <c r="B296" t="s">
        <v>14</v>
      </c>
      <c r="C296">
        <v>692</v>
      </c>
      <c r="D296">
        <v>300</v>
      </c>
      <c r="E296" t="s">
        <v>99</v>
      </c>
      <c r="F296" t="s">
        <v>19</v>
      </c>
      <c r="G296">
        <v>162358</v>
      </c>
    </row>
    <row r="297" spans="1:7" x14ac:dyDescent="0.45">
      <c r="A297">
        <v>2021</v>
      </c>
      <c r="B297" t="s">
        <v>20</v>
      </c>
      <c r="C297">
        <v>843</v>
      </c>
      <c r="D297">
        <v>839</v>
      </c>
      <c r="E297" t="s">
        <v>100</v>
      </c>
      <c r="F297" t="s">
        <v>11</v>
      </c>
      <c r="G297">
        <v>1055253</v>
      </c>
    </row>
    <row r="298" spans="1:7" x14ac:dyDescent="0.45">
      <c r="A298">
        <v>2024</v>
      </c>
      <c r="B298" t="s">
        <v>27</v>
      </c>
      <c r="C298">
        <v>839</v>
      </c>
      <c r="D298">
        <v>983</v>
      </c>
      <c r="E298" t="s">
        <v>100</v>
      </c>
      <c r="F298" t="s">
        <v>23</v>
      </c>
      <c r="G298">
        <v>819316</v>
      </c>
    </row>
    <row r="299" spans="1:7" x14ac:dyDescent="0.45">
      <c r="A299">
        <v>2022</v>
      </c>
      <c r="B299" t="s">
        <v>27</v>
      </c>
      <c r="C299">
        <v>93</v>
      </c>
      <c r="D299">
        <v>852</v>
      </c>
      <c r="E299" t="s">
        <v>100</v>
      </c>
      <c r="F299" t="s">
        <v>11</v>
      </c>
      <c r="G299">
        <v>653988</v>
      </c>
    </row>
    <row r="300" spans="1:7" x14ac:dyDescent="0.45">
      <c r="A300">
        <v>2023</v>
      </c>
      <c r="B300" t="s">
        <v>14</v>
      </c>
      <c r="C300">
        <v>577</v>
      </c>
      <c r="D300">
        <v>175</v>
      </c>
      <c r="E300" t="s">
        <v>100</v>
      </c>
      <c r="F300" t="s">
        <v>15</v>
      </c>
      <c r="G300">
        <v>670153</v>
      </c>
    </row>
    <row r="301" spans="1:7" x14ac:dyDescent="0.45">
      <c r="A301">
        <v>2022</v>
      </c>
      <c r="B301" t="s">
        <v>25</v>
      </c>
      <c r="C301">
        <v>403</v>
      </c>
      <c r="D301">
        <v>953</v>
      </c>
      <c r="E301" t="s">
        <v>101</v>
      </c>
      <c r="F301" t="s">
        <v>23</v>
      </c>
      <c r="G301">
        <v>306653</v>
      </c>
    </row>
    <row r="302" spans="1:7" x14ac:dyDescent="0.45">
      <c r="A302">
        <v>2021</v>
      </c>
      <c r="B302" t="s">
        <v>25</v>
      </c>
      <c r="C302">
        <v>156</v>
      </c>
      <c r="D302">
        <v>54</v>
      </c>
      <c r="E302" t="s">
        <v>101</v>
      </c>
      <c r="F302" t="s">
        <v>11</v>
      </c>
      <c r="G302">
        <v>230400</v>
      </c>
    </row>
    <row r="303" spans="1:7" x14ac:dyDescent="0.45">
      <c r="A303">
        <v>2023</v>
      </c>
      <c r="B303" t="s">
        <v>28</v>
      </c>
      <c r="C303">
        <v>577</v>
      </c>
      <c r="D303">
        <v>175</v>
      </c>
      <c r="E303" t="s">
        <v>101</v>
      </c>
      <c r="F303" t="s">
        <v>9</v>
      </c>
      <c r="G303">
        <v>828244</v>
      </c>
    </row>
    <row r="304" spans="1:7" x14ac:dyDescent="0.45">
      <c r="A304">
        <v>2023</v>
      </c>
      <c r="B304" t="s">
        <v>18</v>
      </c>
      <c r="C304">
        <v>210</v>
      </c>
      <c r="D304">
        <v>177</v>
      </c>
      <c r="E304" t="s">
        <v>102</v>
      </c>
      <c r="F304" t="s">
        <v>23</v>
      </c>
      <c r="G304">
        <v>204794</v>
      </c>
    </row>
    <row r="305" spans="1:7" x14ac:dyDescent="0.45">
      <c r="A305">
        <v>2022</v>
      </c>
      <c r="B305" t="s">
        <v>18</v>
      </c>
      <c r="C305">
        <v>839</v>
      </c>
      <c r="D305">
        <v>334</v>
      </c>
      <c r="E305" t="s">
        <v>102</v>
      </c>
      <c r="F305" t="s">
        <v>19</v>
      </c>
      <c r="G305">
        <v>462946</v>
      </c>
    </row>
    <row r="306" spans="1:7" x14ac:dyDescent="0.45">
      <c r="A306">
        <v>2024</v>
      </c>
      <c r="B306" t="s">
        <v>14</v>
      </c>
      <c r="C306">
        <v>610</v>
      </c>
      <c r="D306">
        <v>970</v>
      </c>
      <c r="E306" t="s">
        <v>102</v>
      </c>
      <c r="F306" t="s">
        <v>9</v>
      </c>
      <c r="G306">
        <v>579979</v>
      </c>
    </row>
    <row r="307" spans="1:7" x14ac:dyDescent="0.45">
      <c r="A307">
        <v>2021</v>
      </c>
      <c r="B307" t="s">
        <v>14</v>
      </c>
      <c r="C307">
        <v>61</v>
      </c>
      <c r="D307">
        <v>28</v>
      </c>
      <c r="E307" t="s">
        <v>102</v>
      </c>
      <c r="F307" t="s">
        <v>11</v>
      </c>
      <c r="G307">
        <v>199691</v>
      </c>
    </row>
    <row r="308" spans="1:7" x14ac:dyDescent="0.45">
      <c r="A308">
        <v>2023</v>
      </c>
      <c r="B308" t="s">
        <v>25</v>
      </c>
      <c r="C308">
        <v>610</v>
      </c>
      <c r="D308">
        <v>970</v>
      </c>
      <c r="E308" t="s">
        <v>103</v>
      </c>
      <c r="F308" t="s">
        <v>19</v>
      </c>
      <c r="G308">
        <v>697089</v>
      </c>
    </row>
    <row r="309" spans="1:7" x14ac:dyDescent="0.45">
      <c r="A309">
        <v>2022</v>
      </c>
      <c r="B309" t="s">
        <v>25</v>
      </c>
      <c r="C309">
        <v>210</v>
      </c>
      <c r="D309">
        <v>177</v>
      </c>
      <c r="E309" t="s">
        <v>103</v>
      </c>
      <c r="F309" t="s">
        <v>34</v>
      </c>
      <c r="G309">
        <v>928877</v>
      </c>
    </row>
    <row r="310" spans="1:7" x14ac:dyDescent="0.45">
      <c r="A310">
        <v>2021</v>
      </c>
      <c r="B310" t="s">
        <v>25</v>
      </c>
      <c r="C310">
        <v>610</v>
      </c>
      <c r="D310">
        <v>851</v>
      </c>
      <c r="E310" t="s">
        <v>103</v>
      </c>
      <c r="F310" t="s">
        <v>19</v>
      </c>
      <c r="G310">
        <v>343524</v>
      </c>
    </row>
    <row r="311" spans="1:7" x14ac:dyDescent="0.45">
      <c r="A311">
        <v>2024</v>
      </c>
      <c r="B311" t="s">
        <v>18</v>
      </c>
      <c r="C311">
        <v>577</v>
      </c>
      <c r="D311">
        <v>175</v>
      </c>
      <c r="E311" t="s">
        <v>103</v>
      </c>
      <c r="F311" t="s">
        <v>23</v>
      </c>
      <c r="G311">
        <v>1163697</v>
      </c>
    </row>
    <row r="312" spans="1:7" x14ac:dyDescent="0.45">
      <c r="A312">
        <v>2024</v>
      </c>
      <c r="B312" t="s">
        <v>27</v>
      </c>
      <c r="C312">
        <v>692</v>
      </c>
      <c r="D312">
        <v>300</v>
      </c>
      <c r="E312" t="s">
        <v>103</v>
      </c>
      <c r="F312" t="s">
        <v>19</v>
      </c>
      <c r="G312">
        <v>465025</v>
      </c>
    </row>
    <row r="313" spans="1:7" x14ac:dyDescent="0.45">
      <c r="A313">
        <v>2022</v>
      </c>
      <c r="B313" t="s">
        <v>18</v>
      </c>
      <c r="C313">
        <v>287</v>
      </c>
      <c r="D313">
        <v>744</v>
      </c>
      <c r="E313" t="s">
        <v>104</v>
      </c>
      <c r="F313" t="s">
        <v>23</v>
      </c>
      <c r="G313">
        <v>461137</v>
      </c>
    </row>
    <row r="314" spans="1:7" x14ac:dyDescent="0.45">
      <c r="A314">
        <v>2024</v>
      </c>
      <c r="B314" t="s">
        <v>7</v>
      </c>
      <c r="C314">
        <v>968</v>
      </c>
      <c r="D314">
        <v>330</v>
      </c>
      <c r="E314" t="s">
        <v>104</v>
      </c>
      <c r="F314" t="s">
        <v>23</v>
      </c>
      <c r="G314">
        <v>577713</v>
      </c>
    </row>
    <row r="315" spans="1:7" x14ac:dyDescent="0.45">
      <c r="A315">
        <v>2023</v>
      </c>
      <c r="B315" t="s">
        <v>27</v>
      </c>
      <c r="C315">
        <v>568</v>
      </c>
      <c r="D315">
        <v>505</v>
      </c>
      <c r="E315" t="s">
        <v>104</v>
      </c>
      <c r="F315" t="s">
        <v>19</v>
      </c>
      <c r="G315">
        <v>209059</v>
      </c>
    </row>
    <row r="316" spans="1:7" x14ac:dyDescent="0.45">
      <c r="A316">
        <v>2021</v>
      </c>
      <c r="B316" t="s">
        <v>14</v>
      </c>
      <c r="C316">
        <v>461</v>
      </c>
      <c r="D316">
        <v>615</v>
      </c>
      <c r="E316" t="s">
        <v>104</v>
      </c>
      <c r="F316" t="s">
        <v>11</v>
      </c>
      <c r="G316">
        <v>508671</v>
      </c>
    </row>
    <row r="317" spans="1:7" x14ac:dyDescent="0.45">
      <c r="A317">
        <v>2023</v>
      </c>
      <c r="B317" t="s">
        <v>20</v>
      </c>
      <c r="C317">
        <v>568</v>
      </c>
      <c r="D317">
        <v>505</v>
      </c>
      <c r="E317" t="s">
        <v>105</v>
      </c>
      <c r="F317" t="s">
        <v>22</v>
      </c>
      <c r="G317">
        <v>658492</v>
      </c>
    </row>
    <row r="318" spans="1:7" x14ac:dyDescent="0.45">
      <c r="A318">
        <v>2021</v>
      </c>
      <c r="B318" t="s">
        <v>27</v>
      </c>
      <c r="C318">
        <v>615</v>
      </c>
      <c r="D318">
        <v>851</v>
      </c>
      <c r="E318" t="s">
        <v>105</v>
      </c>
      <c r="F318" t="s">
        <v>11</v>
      </c>
      <c r="G318">
        <v>352427</v>
      </c>
    </row>
    <row r="319" spans="1:7" x14ac:dyDescent="0.45">
      <c r="A319">
        <v>2024</v>
      </c>
      <c r="B319" t="s">
        <v>12</v>
      </c>
      <c r="C319">
        <v>872</v>
      </c>
      <c r="D319">
        <v>249</v>
      </c>
      <c r="E319" t="s">
        <v>105</v>
      </c>
      <c r="F319" t="s">
        <v>13</v>
      </c>
      <c r="G319">
        <v>233591</v>
      </c>
    </row>
    <row r="320" spans="1:7" x14ac:dyDescent="0.45">
      <c r="A320">
        <v>2022</v>
      </c>
      <c r="B320" t="s">
        <v>12</v>
      </c>
      <c r="C320">
        <v>872</v>
      </c>
      <c r="D320">
        <v>249</v>
      </c>
      <c r="E320" t="s">
        <v>105</v>
      </c>
      <c r="F320" t="s">
        <v>30</v>
      </c>
      <c r="G320">
        <v>186455</v>
      </c>
    </row>
    <row r="321" spans="1:7" x14ac:dyDescent="0.45">
      <c r="A321">
        <v>2022</v>
      </c>
      <c r="B321" t="s">
        <v>7</v>
      </c>
      <c r="C321">
        <v>930</v>
      </c>
      <c r="D321">
        <v>563</v>
      </c>
      <c r="E321" t="s">
        <v>106</v>
      </c>
      <c r="F321" t="s">
        <v>9</v>
      </c>
      <c r="G321">
        <v>439391</v>
      </c>
    </row>
    <row r="322" spans="1:7" x14ac:dyDescent="0.45">
      <c r="A322">
        <v>2023</v>
      </c>
      <c r="B322" t="s">
        <v>20</v>
      </c>
      <c r="C322">
        <v>784</v>
      </c>
      <c r="D322">
        <v>540</v>
      </c>
      <c r="E322" t="s">
        <v>106</v>
      </c>
      <c r="F322" t="s">
        <v>13</v>
      </c>
      <c r="G322">
        <v>148080</v>
      </c>
    </row>
    <row r="323" spans="1:7" x14ac:dyDescent="0.45">
      <c r="A323">
        <v>2024</v>
      </c>
      <c r="B323" t="s">
        <v>27</v>
      </c>
      <c r="C323">
        <v>839</v>
      </c>
      <c r="D323">
        <v>983</v>
      </c>
      <c r="E323" t="s">
        <v>106</v>
      </c>
      <c r="F323" t="s">
        <v>9</v>
      </c>
      <c r="G323">
        <v>550469</v>
      </c>
    </row>
    <row r="324" spans="1:7" x14ac:dyDescent="0.45">
      <c r="A324">
        <v>2021</v>
      </c>
      <c r="B324" t="s">
        <v>14</v>
      </c>
      <c r="C324">
        <v>232</v>
      </c>
      <c r="D324">
        <v>351</v>
      </c>
      <c r="E324" t="s">
        <v>106</v>
      </c>
      <c r="F324" t="s">
        <v>15</v>
      </c>
      <c r="G324">
        <v>1029721</v>
      </c>
    </row>
    <row r="325" spans="1:7" x14ac:dyDescent="0.45">
      <c r="A325">
        <v>2021</v>
      </c>
      <c r="B325" t="s">
        <v>18</v>
      </c>
      <c r="C325">
        <v>386</v>
      </c>
      <c r="D325">
        <v>287</v>
      </c>
      <c r="E325" t="s">
        <v>107</v>
      </c>
      <c r="F325" t="s">
        <v>13</v>
      </c>
      <c r="G325">
        <v>521766</v>
      </c>
    </row>
    <row r="326" spans="1:7" x14ac:dyDescent="0.45">
      <c r="A326">
        <v>2023</v>
      </c>
      <c r="B326" t="s">
        <v>28</v>
      </c>
      <c r="C326">
        <v>568</v>
      </c>
      <c r="D326">
        <v>505</v>
      </c>
      <c r="E326" t="s">
        <v>107</v>
      </c>
      <c r="F326" t="s">
        <v>11</v>
      </c>
      <c r="G326">
        <v>694077</v>
      </c>
    </row>
    <row r="327" spans="1:7" x14ac:dyDescent="0.45">
      <c r="A327">
        <v>2022</v>
      </c>
      <c r="B327" t="s">
        <v>12</v>
      </c>
      <c r="C327">
        <v>872</v>
      </c>
      <c r="D327">
        <v>249</v>
      </c>
      <c r="E327" t="s">
        <v>107</v>
      </c>
      <c r="F327" t="s">
        <v>22</v>
      </c>
      <c r="G327">
        <v>396397</v>
      </c>
    </row>
    <row r="328" spans="1:7" x14ac:dyDescent="0.45">
      <c r="A328">
        <v>2024</v>
      </c>
      <c r="B328" t="s">
        <v>25</v>
      </c>
      <c r="C328">
        <v>210</v>
      </c>
      <c r="D328">
        <v>177</v>
      </c>
      <c r="E328" t="s">
        <v>108</v>
      </c>
      <c r="F328" t="s">
        <v>23</v>
      </c>
      <c r="G328">
        <v>1380748</v>
      </c>
    </row>
    <row r="329" spans="1:7" x14ac:dyDescent="0.45">
      <c r="A329">
        <v>2024</v>
      </c>
      <c r="B329" t="s">
        <v>18</v>
      </c>
      <c r="C329">
        <v>312</v>
      </c>
      <c r="D329">
        <v>983</v>
      </c>
      <c r="E329" t="s">
        <v>108</v>
      </c>
      <c r="F329" t="s">
        <v>11</v>
      </c>
      <c r="G329">
        <v>584211</v>
      </c>
    </row>
    <row r="330" spans="1:7" x14ac:dyDescent="0.45">
      <c r="A330">
        <v>2021</v>
      </c>
      <c r="B330" t="s">
        <v>7</v>
      </c>
      <c r="C330">
        <v>873</v>
      </c>
      <c r="D330">
        <v>287</v>
      </c>
      <c r="E330" t="s">
        <v>108</v>
      </c>
      <c r="F330" t="s">
        <v>15</v>
      </c>
      <c r="G330">
        <v>954561</v>
      </c>
    </row>
    <row r="331" spans="1:7" x14ac:dyDescent="0.45">
      <c r="A331">
        <v>2023</v>
      </c>
      <c r="B331" t="s">
        <v>10</v>
      </c>
      <c r="C331">
        <v>872</v>
      </c>
      <c r="D331">
        <v>249</v>
      </c>
      <c r="E331" t="s">
        <v>108</v>
      </c>
      <c r="F331" t="s">
        <v>34</v>
      </c>
      <c r="G331">
        <v>815366</v>
      </c>
    </row>
    <row r="332" spans="1:7" x14ac:dyDescent="0.45">
      <c r="A332">
        <v>2024</v>
      </c>
      <c r="B332" t="s">
        <v>12</v>
      </c>
      <c r="C332">
        <v>168</v>
      </c>
      <c r="D332">
        <v>97</v>
      </c>
      <c r="E332" t="s">
        <v>108</v>
      </c>
      <c r="F332" t="s">
        <v>13</v>
      </c>
      <c r="G332">
        <v>1255155</v>
      </c>
    </row>
    <row r="333" spans="1:7" x14ac:dyDescent="0.45">
      <c r="A333">
        <v>2022</v>
      </c>
      <c r="B333" t="s">
        <v>12</v>
      </c>
      <c r="C333">
        <v>168</v>
      </c>
      <c r="D333">
        <v>97</v>
      </c>
      <c r="E333" t="s">
        <v>108</v>
      </c>
      <c r="F333" t="s">
        <v>30</v>
      </c>
      <c r="G333">
        <v>1001880</v>
      </c>
    </row>
    <row r="334" spans="1:7" x14ac:dyDescent="0.45">
      <c r="A334">
        <v>2024</v>
      </c>
      <c r="B334" t="s">
        <v>25</v>
      </c>
      <c r="C334">
        <v>872</v>
      </c>
      <c r="D334">
        <v>249</v>
      </c>
      <c r="E334" t="s">
        <v>109</v>
      </c>
      <c r="F334" t="s">
        <v>34</v>
      </c>
      <c r="G334">
        <v>893206</v>
      </c>
    </row>
    <row r="335" spans="1:7" x14ac:dyDescent="0.45">
      <c r="A335">
        <v>2023</v>
      </c>
      <c r="B335" t="s">
        <v>28</v>
      </c>
      <c r="C335">
        <v>168</v>
      </c>
      <c r="D335">
        <v>97</v>
      </c>
      <c r="E335" t="s">
        <v>109</v>
      </c>
      <c r="F335" t="s">
        <v>11</v>
      </c>
      <c r="G335">
        <v>524849</v>
      </c>
    </row>
    <row r="336" spans="1:7" x14ac:dyDescent="0.45">
      <c r="A336">
        <v>2021</v>
      </c>
      <c r="B336" t="s">
        <v>28</v>
      </c>
      <c r="C336">
        <v>98</v>
      </c>
      <c r="D336">
        <v>968</v>
      </c>
      <c r="E336" t="s">
        <v>109</v>
      </c>
      <c r="F336" t="s">
        <v>9</v>
      </c>
      <c r="G336">
        <v>166970</v>
      </c>
    </row>
    <row r="337" spans="1:7" x14ac:dyDescent="0.45">
      <c r="A337">
        <v>2022</v>
      </c>
      <c r="B337" t="s">
        <v>14</v>
      </c>
      <c r="C337">
        <v>795</v>
      </c>
      <c r="D337">
        <v>469</v>
      </c>
      <c r="E337" t="s">
        <v>109</v>
      </c>
      <c r="F337" t="s">
        <v>22</v>
      </c>
      <c r="G337">
        <v>712968</v>
      </c>
    </row>
    <row r="338" spans="1:7" x14ac:dyDescent="0.45">
      <c r="A338">
        <v>2021</v>
      </c>
      <c r="B338" t="s">
        <v>25</v>
      </c>
      <c r="C338">
        <v>601</v>
      </c>
      <c r="D338">
        <v>413</v>
      </c>
      <c r="E338" t="s">
        <v>110</v>
      </c>
      <c r="F338" t="s">
        <v>19</v>
      </c>
      <c r="G338">
        <v>951972</v>
      </c>
    </row>
    <row r="339" spans="1:7" x14ac:dyDescent="0.45">
      <c r="A339">
        <v>2022</v>
      </c>
      <c r="B339" t="s">
        <v>28</v>
      </c>
      <c r="C339">
        <v>403</v>
      </c>
      <c r="D339">
        <v>953</v>
      </c>
      <c r="E339" t="s">
        <v>110</v>
      </c>
      <c r="F339" t="s">
        <v>9</v>
      </c>
      <c r="G339">
        <v>612550</v>
      </c>
    </row>
    <row r="340" spans="1:7" x14ac:dyDescent="0.45">
      <c r="A340">
        <v>2023</v>
      </c>
      <c r="B340" t="s">
        <v>12</v>
      </c>
      <c r="C340">
        <v>930</v>
      </c>
      <c r="D340">
        <v>563</v>
      </c>
      <c r="E340" t="s">
        <v>110</v>
      </c>
      <c r="F340" t="s">
        <v>15</v>
      </c>
      <c r="G340">
        <v>935664</v>
      </c>
    </row>
    <row r="341" spans="1:7" x14ac:dyDescent="0.45">
      <c r="A341">
        <v>2022</v>
      </c>
      <c r="B341" t="s">
        <v>20</v>
      </c>
      <c r="C341">
        <v>312</v>
      </c>
      <c r="D341">
        <v>983</v>
      </c>
      <c r="E341" t="s">
        <v>111</v>
      </c>
      <c r="F341" t="s">
        <v>22</v>
      </c>
      <c r="G341">
        <v>526794</v>
      </c>
    </row>
    <row r="342" spans="1:7" x14ac:dyDescent="0.45">
      <c r="A342">
        <v>2024</v>
      </c>
      <c r="B342" t="s">
        <v>10</v>
      </c>
      <c r="C342">
        <v>839</v>
      </c>
      <c r="D342">
        <v>334</v>
      </c>
      <c r="E342" t="s">
        <v>111</v>
      </c>
      <c r="F342" t="s">
        <v>19</v>
      </c>
      <c r="G342">
        <v>659967</v>
      </c>
    </row>
    <row r="343" spans="1:7" x14ac:dyDescent="0.45">
      <c r="A343">
        <v>2023</v>
      </c>
      <c r="B343" t="s">
        <v>12</v>
      </c>
      <c r="C343">
        <v>413</v>
      </c>
      <c r="D343">
        <v>930</v>
      </c>
      <c r="E343" t="s">
        <v>111</v>
      </c>
      <c r="F343" t="s">
        <v>11</v>
      </c>
      <c r="G343">
        <v>905044</v>
      </c>
    </row>
    <row r="344" spans="1:7" x14ac:dyDescent="0.45">
      <c r="A344">
        <v>2021</v>
      </c>
      <c r="B344" t="s">
        <v>12</v>
      </c>
      <c r="C344">
        <v>1000</v>
      </c>
      <c r="D344">
        <v>597</v>
      </c>
      <c r="E344" t="s">
        <v>111</v>
      </c>
      <c r="F344" t="s">
        <v>9</v>
      </c>
      <c r="G344">
        <v>123625</v>
      </c>
    </row>
    <row r="345" spans="1:7" x14ac:dyDescent="0.45">
      <c r="A345">
        <v>2023</v>
      </c>
      <c r="B345" t="s">
        <v>25</v>
      </c>
      <c r="C345">
        <v>93</v>
      </c>
      <c r="D345">
        <v>852</v>
      </c>
      <c r="E345" t="s">
        <v>112</v>
      </c>
      <c r="F345" t="s">
        <v>13</v>
      </c>
      <c r="G345">
        <v>148080</v>
      </c>
    </row>
    <row r="346" spans="1:7" x14ac:dyDescent="0.45">
      <c r="A346">
        <v>2024</v>
      </c>
      <c r="B346" t="s">
        <v>12</v>
      </c>
      <c r="C346">
        <v>577</v>
      </c>
      <c r="D346">
        <v>175</v>
      </c>
      <c r="E346" t="s">
        <v>112</v>
      </c>
      <c r="F346" t="s">
        <v>19</v>
      </c>
      <c r="G346">
        <v>615400</v>
      </c>
    </row>
    <row r="347" spans="1:7" x14ac:dyDescent="0.45">
      <c r="A347">
        <v>2022</v>
      </c>
      <c r="B347" t="s">
        <v>12</v>
      </c>
      <c r="C347">
        <v>210</v>
      </c>
      <c r="D347">
        <v>177</v>
      </c>
      <c r="E347" t="s">
        <v>112</v>
      </c>
      <c r="F347" t="s">
        <v>9</v>
      </c>
      <c r="G347">
        <v>491219</v>
      </c>
    </row>
    <row r="348" spans="1:7" x14ac:dyDescent="0.45">
      <c r="A348">
        <v>2021</v>
      </c>
      <c r="B348" t="s">
        <v>14</v>
      </c>
      <c r="C348">
        <v>61</v>
      </c>
      <c r="D348">
        <v>28</v>
      </c>
      <c r="E348" t="s">
        <v>112</v>
      </c>
      <c r="F348" t="s">
        <v>11</v>
      </c>
      <c r="G348">
        <v>586849</v>
      </c>
    </row>
    <row r="349" spans="1:7" x14ac:dyDescent="0.45">
      <c r="A349">
        <v>2023</v>
      </c>
      <c r="B349" t="s">
        <v>25</v>
      </c>
      <c r="C349">
        <v>968</v>
      </c>
      <c r="D349">
        <v>330</v>
      </c>
      <c r="E349" t="s">
        <v>113</v>
      </c>
      <c r="F349" t="s">
        <v>19</v>
      </c>
      <c r="G349">
        <v>238955</v>
      </c>
    </row>
    <row r="350" spans="1:7" x14ac:dyDescent="0.45">
      <c r="A350">
        <v>2024</v>
      </c>
      <c r="B350" t="s">
        <v>7</v>
      </c>
      <c r="C350">
        <v>795</v>
      </c>
      <c r="D350">
        <v>469</v>
      </c>
      <c r="E350" t="s">
        <v>113</v>
      </c>
      <c r="F350" t="s">
        <v>22</v>
      </c>
      <c r="G350">
        <v>709523</v>
      </c>
    </row>
    <row r="351" spans="1:7" x14ac:dyDescent="0.45">
      <c r="A351">
        <v>2022</v>
      </c>
      <c r="B351" t="s">
        <v>28</v>
      </c>
      <c r="C351">
        <v>568</v>
      </c>
      <c r="D351">
        <v>505</v>
      </c>
      <c r="E351" t="s">
        <v>113</v>
      </c>
      <c r="F351" t="s">
        <v>19</v>
      </c>
      <c r="G351">
        <v>566350</v>
      </c>
    </row>
    <row r="352" spans="1:7" x14ac:dyDescent="0.45">
      <c r="A352">
        <v>2021</v>
      </c>
      <c r="B352" t="s">
        <v>28</v>
      </c>
      <c r="C352">
        <v>499</v>
      </c>
      <c r="D352">
        <v>568</v>
      </c>
      <c r="E352" t="s">
        <v>113</v>
      </c>
      <c r="F352" t="s">
        <v>34</v>
      </c>
      <c r="G352">
        <v>937183</v>
      </c>
    </row>
    <row r="353" spans="1:7" x14ac:dyDescent="0.45">
      <c r="A353">
        <v>2021</v>
      </c>
      <c r="B353" t="s">
        <v>10</v>
      </c>
      <c r="C353">
        <v>810</v>
      </c>
      <c r="D353">
        <v>657</v>
      </c>
      <c r="E353" t="s">
        <v>114</v>
      </c>
      <c r="F353" t="s">
        <v>11</v>
      </c>
      <c r="G353">
        <v>925289</v>
      </c>
    </row>
    <row r="354" spans="1:7" x14ac:dyDescent="0.45">
      <c r="A354">
        <v>2022</v>
      </c>
      <c r="B354" t="s">
        <v>27</v>
      </c>
      <c r="C354">
        <v>930</v>
      </c>
      <c r="D354">
        <v>563</v>
      </c>
      <c r="E354" t="s">
        <v>114</v>
      </c>
      <c r="F354" t="s">
        <v>15</v>
      </c>
      <c r="G354">
        <v>483679</v>
      </c>
    </row>
    <row r="355" spans="1:7" x14ac:dyDescent="0.45">
      <c r="A355">
        <v>2023</v>
      </c>
      <c r="B355" t="s">
        <v>12</v>
      </c>
      <c r="C355">
        <v>312</v>
      </c>
      <c r="D355">
        <v>983</v>
      </c>
      <c r="E355" t="s">
        <v>114</v>
      </c>
      <c r="F355" t="s">
        <v>19</v>
      </c>
      <c r="G355">
        <v>513714</v>
      </c>
    </row>
    <row r="356" spans="1:7" x14ac:dyDescent="0.45">
      <c r="A356">
        <v>2023</v>
      </c>
      <c r="B356" t="s">
        <v>7</v>
      </c>
      <c r="C356">
        <v>568</v>
      </c>
      <c r="D356">
        <v>505</v>
      </c>
      <c r="E356" t="s">
        <v>115</v>
      </c>
      <c r="F356" t="s">
        <v>22</v>
      </c>
      <c r="G356">
        <v>480165</v>
      </c>
    </row>
    <row r="357" spans="1:7" x14ac:dyDescent="0.45">
      <c r="A357">
        <v>2021</v>
      </c>
      <c r="B357" t="s">
        <v>28</v>
      </c>
      <c r="C357">
        <v>351</v>
      </c>
      <c r="D357">
        <v>918</v>
      </c>
      <c r="E357" t="s">
        <v>115</v>
      </c>
      <c r="F357" t="s">
        <v>23</v>
      </c>
      <c r="G357">
        <v>255250</v>
      </c>
    </row>
    <row r="358" spans="1:7" x14ac:dyDescent="0.45">
      <c r="A358">
        <v>2022</v>
      </c>
      <c r="B358" t="s">
        <v>12</v>
      </c>
      <c r="C358">
        <v>872</v>
      </c>
      <c r="D358">
        <v>249</v>
      </c>
      <c r="E358" t="s">
        <v>115</v>
      </c>
      <c r="F358" t="s">
        <v>34</v>
      </c>
      <c r="G358">
        <v>642616</v>
      </c>
    </row>
    <row r="359" spans="1:7" x14ac:dyDescent="0.45">
      <c r="A359">
        <v>2024</v>
      </c>
      <c r="B359" t="s">
        <v>25</v>
      </c>
      <c r="C359">
        <v>968</v>
      </c>
      <c r="D359">
        <v>330</v>
      </c>
      <c r="E359" t="s">
        <v>116</v>
      </c>
      <c r="F359" t="s">
        <v>11</v>
      </c>
      <c r="G359">
        <v>1237760</v>
      </c>
    </row>
    <row r="360" spans="1:7" x14ac:dyDescent="0.45">
      <c r="A360">
        <v>2023</v>
      </c>
      <c r="B360" t="s">
        <v>18</v>
      </c>
      <c r="C360">
        <v>795</v>
      </c>
      <c r="D360">
        <v>469</v>
      </c>
      <c r="E360" t="s">
        <v>116</v>
      </c>
      <c r="F360" t="s">
        <v>30</v>
      </c>
      <c r="G360">
        <v>1092370</v>
      </c>
    </row>
    <row r="361" spans="1:7" x14ac:dyDescent="0.45">
      <c r="A361">
        <v>2021</v>
      </c>
      <c r="B361" t="s">
        <v>7</v>
      </c>
      <c r="C361">
        <v>873</v>
      </c>
      <c r="D361">
        <v>287</v>
      </c>
      <c r="E361" t="s">
        <v>116</v>
      </c>
      <c r="F361" t="s">
        <v>15</v>
      </c>
      <c r="G361">
        <v>234766</v>
      </c>
    </row>
    <row r="362" spans="1:7" x14ac:dyDescent="0.45">
      <c r="A362">
        <v>2024</v>
      </c>
      <c r="B362" t="s">
        <v>28</v>
      </c>
      <c r="C362">
        <v>312</v>
      </c>
      <c r="D362">
        <v>983</v>
      </c>
      <c r="E362" t="s">
        <v>116</v>
      </c>
      <c r="F362" t="s">
        <v>9</v>
      </c>
      <c r="G362">
        <v>1277043</v>
      </c>
    </row>
    <row r="363" spans="1:7" x14ac:dyDescent="0.45">
      <c r="A363">
        <v>2024</v>
      </c>
      <c r="B363" t="s">
        <v>28</v>
      </c>
      <c r="C363">
        <v>312</v>
      </c>
      <c r="D363">
        <v>983</v>
      </c>
      <c r="E363" t="s">
        <v>116</v>
      </c>
      <c r="F363" t="s">
        <v>9</v>
      </c>
      <c r="G363">
        <v>1277043</v>
      </c>
    </row>
    <row r="364" spans="1:7" x14ac:dyDescent="0.45">
      <c r="A364">
        <v>2024</v>
      </c>
      <c r="B364" t="s">
        <v>28</v>
      </c>
      <c r="C364">
        <v>312</v>
      </c>
      <c r="D364">
        <v>983</v>
      </c>
      <c r="E364" t="s">
        <v>116</v>
      </c>
      <c r="F364" t="s">
        <v>9</v>
      </c>
      <c r="G364">
        <v>1277043</v>
      </c>
    </row>
    <row r="365" spans="1:7" x14ac:dyDescent="0.45">
      <c r="A365">
        <v>2024</v>
      </c>
      <c r="B365" t="s">
        <v>28</v>
      </c>
      <c r="C365">
        <v>312</v>
      </c>
      <c r="D365">
        <v>983</v>
      </c>
      <c r="E365" t="s">
        <v>116</v>
      </c>
      <c r="F365" t="s">
        <v>9</v>
      </c>
      <c r="G365">
        <v>1277043</v>
      </c>
    </row>
    <row r="366" spans="1:7" x14ac:dyDescent="0.45">
      <c r="A366">
        <v>2024</v>
      </c>
      <c r="B366" t="s">
        <v>28</v>
      </c>
      <c r="C366">
        <v>312</v>
      </c>
      <c r="D366">
        <v>983</v>
      </c>
      <c r="E366" t="s">
        <v>116</v>
      </c>
      <c r="F366" t="s">
        <v>9</v>
      </c>
      <c r="G366">
        <v>1277043</v>
      </c>
    </row>
    <row r="367" spans="1:7" x14ac:dyDescent="0.45">
      <c r="A367">
        <v>2024</v>
      </c>
      <c r="B367" t="s">
        <v>14</v>
      </c>
      <c r="C367">
        <v>403</v>
      </c>
      <c r="D367">
        <v>953</v>
      </c>
      <c r="E367" t="s">
        <v>116</v>
      </c>
      <c r="F367" t="s">
        <v>19</v>
      </c>
      <c r="G367">
        <v>1380748</v>
      </c>
    </row>
    <row r="368" spans="1:7" x14ac:dyDescent="0.45">
      <c r="A368">
        <v>2022</v>
      </c>
      <c r="B368" t="s">
        <v>14</v>
      </c>
      <c r="C368">
        <v>968</v>
      </c>
      <c r="D368">
        <v>330</v>
      </c>
      <c r="E368" t="s">
        <v>116</v>
      </c>
      <c r="F368" t="s">
        <v>13</v>
      </c>
      <c r="G368">
        <v>472993</v>
      </c>
    </row>
    <row r="369" spans="1:7" x14ac:dyDescent="0.45">
      <c r="A369">
        <v>2021</v>
      </c>
      <c r="B369" t="s">
        <v>16</v>
      </c>
      <c r="C369">
        <v>105</v>
      </c>
      <c r="D369">
        <v>924</v>
      </c>
      <c r="E369" t="s">
        <v>117</v>
      </c>
      <c r="F369" t="s">
        <v>15</v>
      </c>
      <c r="G369">
        <v>668335</v>
      </c>
    </row>
    <row r="370" spans="1:7" x14ac:dyDescent="0.45">
      <c r="A370">
        <v>2022</v>
      </c>
      <c r="B370" t="s">
        <v>7</v>
      </c>
      <c r="C370">
        <v>568</v>
      </c>
      <c r="D370">
        <v>505</v>
      </c>
      <c r="E370" t="s">
        <v>117</v>
      </c>
      <c r="F370" t="s">
        <v>15</v>
      </c>
      <c r="G370">
        <v>972776</v>
      </c>
    </row>
    <row r="371" spans="1:7" x14ac:dyDescent="0.45">
      <c r="A371">
        <v>2024</v>
      </c>
      <c r="B371" t="s">
        <v>20</v>
      </c>
      <c r="C371">
        <v>413</v>
      </c>
      <c r="D371">
        <v>930</v>
      </c>
      <c r="E371" t="s">
        <v>117</v>
      </c>
      <c r="F371" t="s">
        <v>15</v>
      </c>
      <c r="G371">
        <v>867574</v>
      </c>
    </row>
    <row r="372" spans="1:7" x14ac:dyDescent="0.45">
      <c r="A372">
        <v>2023</v>
      </c>
      <c r="B372" t="s">
        <v>20</v>
      </c>
      <c r="C372">
        <v>968</v>
      </c>
      <c r="D372">
        <v>330</v>
      </c>
      <c r="E372" t="s">
        <v>117</v>
      </c>
      <c r="F372" t="s">
        <v>30</v>
      </c>
      <c r="G372">
        <v>306653</v>
      </c>
    </row>
    <row r="373" spans="1:7" x14ac:dyDescent="0.45">
      <c r="A373">
        <v>2021</v>
      </c>
      <c r="B373" t="s">
        <v>27</v>
      </c>
      <c r="C373">
        <v>256</v>
      </c>
      <c r="D373">
        <v>839</v>
      </c>
      <c r="E373" t="s">
        <v>118</v>
      </c>
      <c r="F373" t="s">
        <v>19</v>
      </c>
      <c r="G373">
        <v>1053598</v>
      </c>
    </row>
    <row r="374" spans="1:7" x14ac:dyDescent="0.45">
      <c r="A374">
        <v>2023</v>
      </c>
      <c r="B374" t="s">
        <v>12</v>
      </c>
      <c r="C374">
        <v>795</v>
      </c>
      <c r="D374">
        <v>469</v>
      </c>
      <c r="E374" t="s">
        <v>118</v>
      </c>
      <c r="F374" t="s">
        <v>34</v>
      </c>
      <c r="G374">
        <v>578538</v>
      </c>
    </row>
    <row r="375" spans="1:7" x14ac:dyDescent="0.45">
      <c r="A375">
        <v>2022</v>
      </c>
      <c r="B375" t="s">
        <v>14</v>
      </c>
      <c r="C375">
        <v>968</v>
      </c>
      <c r="D375">
        <v>330</v>
      </c>
      <c r="E375" t="s">
        <v>118</v>
      </c>
      <c r="F375" t="s">
        <v>23</v>
      </c>
      <c r="G375">
        <v>466324</v>
      </c>
    </row>
    <row r="376" spans="1:7" x14ac:dyDescent="0.45">
      <c r="A376">
        <v>2022</v>
      </c>
      <c r="B376" t="s">
        <v>25</v>
      </c>
      <c r="C376">
        <v>839</v>
      </c>
      <c r="D376">
        <v>983</v>
      </c>
      <c r="E376" t="s">
        <v>119</v>
      </c>
      <c r="F376" t="s">
        <v>23</v>
      </c>
      <c r="G376">
        <v>612550</v>
      </c>
    </row>
    <row r="377" spans="1:7" x14ac:dyDescent="0.45">
      <c r="A377">
        <v>2023</v>
      </c>
      <c r="B377" t="s">
        <v>7</v>
      </c>
      <c r="C377">
        <v>287</v>
      </c>
      <c r="D377">
        <v>744</v>
      </c>
      <c r="E377" t="s">
        <v>119</v>
      </c>
      <c r="F377" t="s">
        <v>11</v>
      </c>
      <c r="G377">
        <v>263220</v>
      </c>
    </row>
    <row r="378" spans="1:7" x14ac:dyDescent="0.45">
      <c r="A378">
        <v>2024</v>
      </c>
      <c r="B378" t="s">
        <v>14</v>
      </c>
      <c r="C378">
        <v>568</v>
      </c>
      <c r="D378">
        <v>505</v>
      </c>
      <c r="E378" t="s">
        <v>119</v>
      </c>
      <c r="F378" t="s">
        <v>11</v>
      </c>
      <c r="G378">
        <v>767403</v>
      </c>
    </row>
    <row r="379" spans="1:7" x14ac:dyDescent="0.45">
      <c r="A379">
        <v>2021</v>
      </c>
      <c r="B379" t="s">
        <v>14</v>
      </c>
      <c r="C379">
        <v>975</v>
      </c>
      <c r="D379">
        <v>282</v>
      </c>
      <c r="E379" t="s">
        <v>119</v>
      </c>
      <c r="F379" t="s">
        <v>15</v>
      </c>
      <c r="G379">
        <v>972447</v>
      </c>
    </row>
    <row r="380" spans="1:7" x14ac:dyDescent="0.45">
      <c r="A380">
        <v>2023</v>
      </c>
      <c r="B380" t="s">
        <v>7</v>
      </c>
      <c r="C380">
        <v>413</v>
      </c>
      <c r="D380">
        <v>930</v>
      </c>
      <c r="E380" t="s">
        <v>120</v>
      </c>
      <c r="F380" t="s">
        <v>34</v>
      </c>
      <c r="G380">
        <v>185514</v>
      </c>
    </row>
    <row r="381" spans="1:7" x14ac:dyDescent="0.45">
      <c r="A381">
        <v>2022</v>
      </c>
      <c r="B381" t="s">
        <v>7</v>
      </c>
      <c r="C381">
        <v>312</v>
      </c>
      <c r="D381">
        <v>983</v>
      </c>
      <c r="E381" t="s">
        <v>120</v>
      </c>
      <c r="F381" t="s">
        <v>15</v>
      </c>
      <c r="G381">
        <v>405587</v>
      </c>
    </row>
    <row r="382" spans="1:7" x14ac:dyDescent="0.45">
      <c r="A382">
        <v>2021</v>
      </c>
      <c r="B382" t="s">
        <v>7</v>
      </c>
      <c r="C382">
        <v>869</v>
      </c>
      <c r="D382">
        <v>930</v>
      </c>
      <c r="E382" t="s">
        <v>120</v>
      </c>
      <c r="F382" t="s">
        <v>34</v>
      </c>
      <c r="G382">
        <v>635797</v>
      </c>
    </row>
    <row r="383" spans="1:7" x14ac:dyDescent="0.45">
      <c r="A383">
        <v>2022</v>
      </c>
      <c r="B383" t="s">
        <v>16</v>
      </c>
      <c r="C383">
        <v>597</v>
      </c>
      <c r="D383">
        <v>287</v>
      </c>
      <c r="E383" t="s">
        <v>121</v>
      </c>
      <c r="F383" t="s">
        <v>30</v>
      </c>
      <c r="G383">
        <v>225676</v>
      </c>
    </row>
    <row r="384" spans="1:7" x14ac:dyDescent="0.45">
      <c r="A384">
        <v>2023</v>
      </c>
      <c r="B384" t="s">
        <v>25</v>
      </c>
      <c r="C384">
        <v>210</v>
      </c>
      <c r="D384">
        <v>177</v>
      </c>
      <c r="E384" t="s">
        <v>121</v>
      </c>
      <c r="F384" t="s">
        <v>34</v>
      </c>
      <c r="G384">
        <v>587074</v>
      </c>
    </row>
    <row r="385" spans="1:7" x14ac:dyDescent="0.45">
      <c r="A385">
        <v>2024</v>
      </c>
      <c r="B385" t="s">
        <v>14</v>
      </c>
      <c r="C385">
        <v>93</v>
      </c>
      <c r="D385">
        <v>852</v>
      </c>
      <c r="E385" t="s">
        <v>121</v>
      </c>
      <c r="F385" t="s">
        <v>23</v>
      </c>
      <c r="G385">
        <v>282727</v>
      </c>
    </row>
    <row r="386" spans="1:7" x14ac:dyDescent="0.45">
      <c r="A386">
        <v>2021</v>
      </c>
      <c r="B386" t="s">
        <v>14</v>
      </c>
      <c r="C386">
        <v>166</v>
      </c>
      <c r="D386">
        <v>934</v>
      </c>
      <c r="E386" t="s">
        <v>121</v>
      </c>
      <c r="F386" t="s">
        <v>19</v>
      </c>
      <c r="G386">
        <v>185506</v>
      </c>
    </row>
    <row r="387" spans="1:7" x14ac:dyDescent="0.45">
      <c r="A387">
        <v>2024</v>
      </c>
      <c r="B387" t="s">
        <v>16</v>
      </c>
      <c r="C387">
        <v>312</v>
      </c>
      <c r="D387">
        <v>983</v>
      </c>
      <c r="E387" t="s">
        <v>122</v>
      </c>
      <c r="F387" t="s">
        <v>34</v>
      </c>
      <c r="G387">
        <v>1020535</v>
      </c>
    </row>
    <row r="388" spans="1:7" x14ac:dyDescent="0.45">
      <c r="A388">
        <v>2022</v>
      </c>
      <c r="B388" t="s">
        <v>16</v>
      </c>
      <c r="C388">
        <v>403</v>
      </c>
      <c r="D388">
        <v>953</v>
      </c>
      <c r="E388" t="s">
        <v>122</v>
      </c>
      <c r="F388" t="s">
        <v>34</v>
      </c>
      <c r="G388">
        <v>814604</v>
      </c>
    </row>
    <row r="389" spans="1:7" x14ac:dyDescent="0.45">
      <c r="A389">
        <v>2021</v>
      </c>
      <c r="B389" t="s">
        <v>18</v>
      </c>
      <c r="C389">
        <v>389</v>
      </c>
      <c r="D389">
        <v>930</v>
      </c>
      <c r="E389" t="s">
        <v>122</v>
      </c>
      <c r="F389" t="s">
        <v>9</v>
      </c>
      <c r="G389">
        <v>295234</v>
      </c>
    </row>
    <row r="390" spans="1:7" x14ac:dyDescent="0.45">
      <c r="A390">
        <v>2023</v>
      </c>
      <c r="B390" t="s">
        <v>7</v>
      </c>
      <c r="C390">
        <v>930</v>
      </c>
      <c r="D390">
        <v>563</v>
      </c>
      <c r="E390" t="s">
        <v>122</v>
      </c>
      <c r="F390" t="s">
        <v>13</v>
      </c>
      <c r="G390">
        <v>148080</v>
      </c>
    </row>
    <row r="391" spans="1:7" x14ac:dyDescent="0.45">
      <c r="A391">
        <v>2024</v>
      </c>
      <c r="B391" t="s">
        <v>18</v>
      </c>
      <c r="C391">
        <v>930</v>
      </c>
      <c r="D391">
        <v>563</v>
      </c>
      <c r="E391" t="s">
        <v>123</v>
      </c>
      <c r="F391" t="s">
        <v>9</v>
      </c>
      <c r="G391">
        <v>867574</v>
      </c>
    </row>
    <row r="392" spans="1:7" x14ac:dyDescent="0.45">
      <c r="A392">
        <v>2022</v>
      </c>
      <c r="B392" t="s">
        <v>18</v>
      </c>
      <c r="C392">
        <v>839</v>
      </c>
      <c r="D392">
        <v>983</v>
      </c>
      <c r="E392" t="s">
        <v>123</v>
      </c>
      <c r="F392" t="s">
        <v>9</v>
      </c>
      <c r="G392">
        <v>692508</v>
      </c>
    </row>
    <row r="393" spans="1:7" x14ac:dyDescent="0.45">
      <c r="A393">
        <v>2023</v>
      </c>
      <c r="B393" t="s">
        <v>12</v>
      </c>
      <c r="C393">
        <v>403</v>
      </c>
      <c r="D393">
        <v>953</v>
      </c>
      <c r="E393" t="s">
        <v>123</v>
      </c>
      <c r="F393" t="s">
        <v>30</v>
      </c>
      <c r="G393">
        <v>167547</v>
      </c>
    </row>
    <row r="394" spans="1:7" x14ac:dyDescent="0.45">
      <c r="A394">
        <v>2021</v>
      </c>
      <c r="B394" t="s">
        <v>14</v>
      </c>
      <c r="C394">
        <v>597</v>
      </c>
      <c r="D394">
        <v>287</v>
      </c>
      <c r="E394" t="s">
        <v>123</v>
      </c>
      <c r="F394" t="s">
        <v>30</v>
      </c>
      <c r="G394">
        <v>396397</v>
      </c>
    </row>
    <row r="395" spans="1:7" x14ac:dyDescent="0.45">
      <c r="A395">
        <v>2022</v>
      </c>
      <c r="B395" t="s">
        <v>18</v>
      </c>
      <c r="C395">
        <v>210</v>
      </c>
      <c r="D395">
        <v>177</v>
      </c>
      <c r="E395" t="s">
        <v>124</v>
      </c>
      <c r="F395" t="s">
        <v>9</v>
      </c>
      <c r="G395">
        <v>692508</v>
      </c>
    </row>
    <row r="396" spans="1:7" x14ac:dyDescent="0.45">
      <c r="A396">
        <v>2023</v>
      </c>
      <c r="B396" t="s">
        <v>7</v>
      </c>
      <c r="C396">
        <v>692</v>
      </c>
      <c r="D396">
        <v>300</v>
      </c>
      <c r="E396" t="s">
        <v>124</v>
      </c>
      <c r="F396" t="s">
        <v>15</v>
      </c>
      <c r="G396">
        <v>655095</v>
      </c>
    </row>
    <row r="397" spans="1:7" x14ac:dyDescent="0.45">
      <c r="A397">
        <v>2021</v>
      </c>
      <c r="B397" t="s">
        <v>28</v>
      </c>
      <c r="C397">
        <v>351</v>
      </c>
      <c r="D397">
        <v>918</v>
      </c>
      <c r="E397" t="s">
        <v>124</v>
      </c>
      <c r="F397" t="s">
        <v>23</v>
      </c>
      <c r="G397">
        <v>1109916</v>
      </c>
    </row>
    <row r="398" spans="1:7" x14ac:dyDescent="0.45">
      <c r="A398">
        <v>2023</v>
      </c>
      <c r="B398" t="s">
        <v>20</v>
      </c>
      <c r="C398">
        <v>312</v>
      </c>
      <c r="D398">
        <v>983</v>
      </c>
      <c r="E398" t="s">
        <v>125</v>
      </c>
      <c r="F398" t="s">
        <v>15</v>
      </c>
      <c r="G398">
        <v>701037</v>
      </c>
    </row>
    <row r="399" spans="1:7" x14ac:dyDescent="0.45">
      <c r="A399">
        <v>2022</v>
      </c>
      <c r="B399" t="s">
        <v>10</v>
      </c>
      <c r="C399">
        <v>930</v>
      </c>
      <c r="D399">
        <v>563</v>
      </c>
      <c r="E399" t="s">
        <v>125</v>
      </c>
      <c r="F399" t="s">
        <v>15</v>
      </c>
      <c r="G399">
        <v>367728</v>
      </c>
    </row>
    <row r="400" spans="1:7" x14ac:dyDescent="0.45">
      <c r="A400">
        <v>2021</v>
      </c>
      <c r="B400" t="s">
        <v>28</v>
      </c>
      <c r="C400">
        <v>98</v>
      </c>
      <c r="D400">
        <v>968</v>
      </c>
      <c r="E400" t="s">
        <v>125</v>
      </c>
      <c r="F400" t="s">
        <v>9</v>
      </c>
      <c r="G400">
        <v>987995</v>
      </c>
    </row>
    <row r="401" spans="1:7" x14ac:dyDescent="0.45">
      <c r="A401">
        <v>2024</v>
      </c>
      <c r="B401" t="s">
        <v>14</v>
      </c>
      <c r="C401">
        <v>930</v>
      </c>
      <c r="D401">
        <v>563</v>
      </c>
      <c r="E401" t="s">
        <v>125</v>
      </c>
      <c r="F401" t="s">
        <v>13</v>
      </c>
      <c r="G401">
        <v>460690</v>
      </c>
    </row>
    <row r="402" spans="1:7" x14ac:dyDescent="0.45">
      <c r="A402">
        <v>2023</v>
      </c>
      <c r="B402" t="s">
        <v>25</v>
      </c>
      <c r="C402">
        <v>312</v>
      </c>
      <c r="D402">
        <v>983</v>
      </c>
      <c r="E402" t="s">
        <v>126</v>
      </c>
      <c r="F402" t="s">
        <v>15</v>
      </c>
      <c r="G402">
        <v>816850</v>
      </c>
    </row>
    <row r="403" spans="1:7" x14ac:dyDescent="0.45">
      <c r="A403">
        <v>2022</v>
      </c>
      <c r="B403" t="s">
        <v>18</v>
      </c>
      <c r="C403">
        <v>795</v>
      </c>
      <c r="D403">
        <v>469</v>
      </c>
      <c r="E403" t="s">
        <v>126</v>
      </c>
      <c r="F403" t="s">
        <v>22</v>
      </c>
      <c r="G403">
        <v>457304</v>
      </c>
    </row>
    <row r="404" spans="1:7" x14ac:dyDescent="0.45">
      <c r="A404">
        <v>2024</v>
      </c>
      <c r="B404" t="s">
        <v>28</v>
      </c>
      <c r="C404">
        <v>403</v>
      </c>
      <c r="D404">
        <v>953</v>
      </c>
      <c r="E404" t="s">
        <v>126</v>
      </c>
      <c r="F404" t="s">
        <v>13</v>
      </c>
      <c r="G404">
        <v>572911</v>
      </c>
    </row>
    <row r="405" spans="1:7" x14ac:dyDescent="0.45">
      <c r="A405">
        <v>2021</v>
      </c>
      <c r="B405" t="s">
        <v>14</v>
      </c>
      <c r="C405">
        <v>86</v>
      </c>
      <c r="D405">
        <v>232</v>
      </c>
      <c r="E405" t="s">
        <v>126</v>
      </c>
      <c r="F405" t="s">
        <v>13</v>
      </c>
      <c r="G405">
        <v>670153</v>
      </c>
    </row>
    <row r="406" spans="1:7" x14ac:dyDescent="0.45">
      <c r="A406">
        <v>2022</v>
      </c>
      <c r="B406" t="s">
        <v>18</v>
      </c>
      <c r="C406">
        <v>930</v>
      </c>
      <c r="D406">
        <v>563</v>
      </c>
      <c r="E406" t="s">
        <v>127</v>
      </c>
      <c r="F406" t="s">
        <v>9</v>
      </c>
      <c r="G406">
        <v>513714</v>
      </c>
    </row>
    <row r="407" spans="1:7" x14ac:dyDescent="0.45">
      <c r="A407">
        <v>2021</v>
      </c>
      <c r="B407" t="s">
        <v>10</v>
      </c>
      <c r="C407">
        <v>342</v>
      </c>
      <c r="D407">
        <v>968</v>
      </c>
      <c r="E407" t="s">
        <v>127</v>
      </c>
      <c r="F407" t="s">
        <v>34</v>
      </c>
      <c r="G407">
        <v>828244</v>
      </c>
    </row>
    <row r="408" spans="1:7" x14ac:dyDescent="0.45">
      <c r="A408">
        <v>2023</v>
      </c>
      <c r="B408" t="s">
        <v>12</v>
      </c>
      <c r="C408">
        <v>210</v>
      </c>
      <c r="D408">
        <v>177</v>
      </c>
      <c r="E408" t="s">
        <v>127</v>
      </c>
      <c r="F408" t="s">
        <v>9</v>
      </c>
      <c r="G408">
        <v>819636</v>
      </c>
    </row>
    <row r="409" spans="1:7" x14ac:dyDescent="0.45">
      <c r="A409">
        <v>2023</v>
      </c>
      <c r="B409" t="s">
        <v>25</v>
      </c>
      <c r="C409">
        <v>839</v>
      </c>
      <c r="D409">
        <v>334</v>
      </c>
      <c r="E409" t="s">
        <v>128</v>
      </c>
      <c r="F409" t="s">
        <v>23</v>
      </c>
      <c r="G409">
        <v>206253</v>
      </c>
    </row>
    <row r="410" spans="1:7" x14ac:dyDescent="0.45">
      <c r="A410">
        <v>2021</v>
      </c>
      <c r="B410" t="s">
        <v>12</v>
      </c>
      <c r="C410">
        <v>957</v>
      </c>
      <c r="D410">
        <v>210</v>
      </c>
      <c r="E410" t="s">
        <v>128</v>
      </c>
      <c r="F410" t="s">
        <v>15</v>
      </c>
      <c r="G410">
        <v>204794</v>
      </c>
    </row>
    <row r="411" spans="1:7" x14ac:dyDescent="0.45">
      <c r="A411">
        <v>2024</v>
      </c>
      <c r="B411" t="s">
        <v>14</v>
      </c>
      <c r="C411">
        <v>610</v>
      </c>
      <c r="D411">
        <v>970</v>
      </c>
      <c r="E411" t="s">
        <v>128</v>
      </c>
      <c r="F411" t="s">
        <v>23</v>
      </c>
      <c r="G411">
        <v>1021814</v>
      </c>
    </row>
    <row r="412" spans="1:7" x14ac:dyDescent="0.45">
      <c r="A412">
        <v>2022</v>
      </c>
      <c r="B412" t="s">
        <v>14</v>
      </c>
      <c r="C412">
        <v>568</v>
      </c>
      <c r="D412">
        <v>505</v>
      </c>
      <c r="E412" t="s">
        <v>128</v>
      </c>
      <c r="F412" t="s">
        <v>15</v>
      </c>
      <c r="G412">
        <v>815624</v>
      </c>
    </row>
    <row r="413" spans="1:7" x14ac:dyDescent="0.45">
      <c r="A413">
        <v>2021</v>
      </c>
      <c r="B413" t="s">
        <v>25</v>
      </c>
      <c r="C413">
        <v>479</v>
      </c>
      <c r="D413">
        <v>934</v>
      </c>
      <c r="E413" t="s">
        <v>129</v>
      </c>
      <c r="F413" t="s">
        <v>11</v>
      </c>
      <c r="G413">
        <v>697089</v>
      </c>
    </row>
    <row r="414" spans="1:7" x14ac:dyDescent="0.45">
      <c r="A414">
        <v>2022</v>
      </c>
      <c r="B414" t="s">
        <v>10</v>
      </c>
      <c r="C414">
        <v>692</v>
      </c>
      <c r="D414">
        <v>300</v>
      </c>
      <c r="E414" t="s">
        <v>129</v>
      </c>
      <c r="F414" t="s">
        <v>19</v>
      </c>
      <c r="G414">
        <v>685441</v>
      </c>
    </row>
    <row r="415" spans="1:7" x14ac:dyDescent="0.45">
      <c r="A415">
        <v>2024</v>
      </c>
      <c r="B415" t="s">
        <v>27</v>
      </c>
      <c r="C415">
        <v>968</v>
      </c>
      <c r="D415">
        <v>330</v>
      </c>
      <c r="E415" t="s">
        <v>129</v>
      </c>
      <c r="F415" t="s">
        <v>15</v>
      </c>
      <c r="G415">
        <v>858720</v>
      </c>
    </row>
    <row r="416" spans="1:7" x14ac:dyDescent="0.45">
      <c r="A416">
        <v>2023</v>
      </c>
      <c r="B416" t="s">
        <v>14</v>
      </c>
      <c r="C416">
        <v>413</v>
      </c>
      <c r="D416">
        <v>930</v>
      </c>
      <c r="E416" t="s">
        <v>129</v>
      </c>
      <c r="F416" t="s">
        <v>15</v>
      </c>
      <c r="G416">
        <v>517632</v>
      </c>
    </row>
    <row r="417" spans="1:7" x14ac:dyDescent="0.45">
      <c r="A417">
        <v>2022</v>
      </c>
      <c r="B417" t="s">
        <v>16</v>
      </c>
      <c r="C417">
        <v>839</v>
      </c>
      <c r="D417">
        <v>334</v>
      </c>
      <c r="E417" t="s">
        <v>130</v>
      </c>
      <c r="F417" t="s">
        <v>34</v>
      </c>
      <c r="G417">
        <v>148080</v>
      </c>
    </row>
    <row r="418" spans="1:7" x14ac:dyDescent="0.45">
      <c r="A418">
        <v>2021</v>
      </c>
      <c r="B418" t="s">
        <v>25</v>
      </c>
      <c r="C418">
        <v>739</v>
      </c>
      <c r="D418">
        <v>105</v>
      </c>
      <c r="E418" t="s">
        <v>130</v>
      </c>
      <c r="F418" t="s">
        <v>13</v>
      </c>
      <c r="G418">
        <v>209059</v>
      </c>
    </row>
    <row r="419" spans="1:7" x14ac:dyDescent="0.45">
      <c r="A419">
        <v>2023</v>
      </c>
      <c r="B419" t="s">
        <v>7</v>
      </c>
      <c r="C419">
        <v>610</v>
      </c>
      <c r="D419">
        <v>970</v>
      </c>
      <c r="E419" t="s">
        <v>130</v>
      </c>
      <c r="F419" t="s">
        <v>11</v>
      </c>
      <c r="G419">
        <v>219683</v>
      </c>
    </row>
    <row r="420" spans="1:7" x14ac:dyDescent="0.45">
      <c r="A420">
        <v>2024</v>
      </c>
      <c r="B420" t="s">
        <v>28</v>
      </c>
      <c r="C420">
        <v>839</v>
      </c>
      <c r="D420">
        <v>983</v>
      </c>
      <c r="E420" t="s">
        <v>130</v>
      </c>
      <c r="F420" t="s">
        <v>11</v>
      </c>
      <c r="G420">
        <v>185515</v>
      </c>
    </row>
    <row r="421" spans="1:7" x14ac:dyDescent="0.45">
      <c r="A421">
        <v>2021</v>
      </c>
      <c r="B421" t="s">
        <v>16</v>
      </c>
      <c r="C421">
        <v>929</v>
      </c>
      <c r="D421">
        <v>590</v>
      </c>
      <c r="E421" t="s">
        <v>131</v>
      </c>
      <c r="F421" t="s">
        <v>19</v>
      </c>
      <c r="G421">
        <v>209059</v>
      </c>
    </row>
    <row r="422" spans="1:7" x14ac:dyDescent="0.45">
      <c r="A422">
        <v>2022</v>
      </c>
      <c r="B422" t="s">
        <v>7</v>
      </c>
      <c r="C422">
        <v>930</v>
      </c>
      <c r="D422">
        <v>563</v>
      </c>
      <c r="E422" t="s">
        <v>131</v>
      </c>
      <c r="F422" t="s">
        <v>9</v>
      </c>
      <c r="G422">
        <v>185506</v>
      </c>
    </row>
    <row r="423" spans="1:7" x14ac:dyDescent="0.45">
      <c r="A423">
        <v>2023</v>
      </c>
      <c r="B423" t="s">
        <v>10</v>
      </c>
      <c r="C423">
        <v>312</v>
      </c>
      <c r="D423">
        <v>983</v>
      </c>
      <c r="E423" t="s">
        <v>131</v>
      </c>
      <c r="F423" t="s">
        <v>34</v>
      </c>
      <c r="G423">
        <v>907698</v>
      </c>
    </row>
    <row r="424" spans="1:7" x14ac:dyDescent="0.45">
      <c r="A424">
        <v>2024</v>
      </c>
      <c r="B424" t="s">
        <v>28</v>
      </c>
      <c r="C424">
        <v>168</v>
      </c>
      <c r="D424">
        <v>97</v>
      </c>
      <c r="E424" t="s">
        <v>131</v>
      </c>
      <c r="F424" t="s">
        <v>34</v>
      </c>
      <c r="G424">
        <v>1293695</v>
      </c>
    </row>
    <row r="425" spans="1:7" x14ac:dyDescent="0.45">
      <c r="A425">
        <v>2024</v>
      </c>
      <c r="B425" t="s">
        <v>14</v>
      </c>
      <c r="C425">
        <v>930</v>
      </c>
      <c r="D425">
        <v>563</v>
      </c>
      <c r="E425" t="s">
        <v>131</v>
      </c>
      <c r="F425" t="s">
        <v>19</v>
      </c>
      <c r="G425">
        <v>1397005</v>
      </c>
    </row>
    <row r="426" spans="1:7" x14ac:dyDescent="0.45">
      <c r="A426">
        <v>2022</v>
      </c>
      <c r="B426" t="s">
        <v>16</v>
      </c>
      <c r="C426">
        <v>577</v>
      </c>
      <c r="D426">
        <v>175</v>
      </c>
      <c r="E426" t="s">
        <v>132</v>
      </c>
      <c r="F426" t="s">
        <v>30</v>
      </c>
      <c r="G426">
        <v>911080</v>
      </c>
    </row>
    <row r="427" spans="1:7" x14ac:dyDescent="0.45">
      <c r="A427">
        <v>2021</v>
      </c>
      <c r="B427" t="s">
        <v>18</v>
      </c>
      <c r="C427">
        <v>389</v>
      </c>
      <c r="D427">
        <v>930</v>
      </c>
      <c r="E427" t="s">
        <v>132</v>
      </c>
      <c r="F427" t="s">
        <v>19</v>
      </c>
      <c r="G427">
        <v>209059</v>
      </c>
    </row>
    <row r="428" spans="1:7" x14ac:dyDescent="0.45">
      <c r="A428">
        <v>2024</v>
      </c>
      <c r="B428" t="s">
        <v>20</v>
      </c>
      <c r="C428">
        <v>403</v>
      </c>
      <c r="D428">
        <v>953</v>
      </c>
      <c r="E428" t="s">
        <v>132</v>
      </c>
      <c r="F428" t="s">
        <v>13</v>
      </c>
      <c r="G428">
        <v>180011</v>
      </c>
    </row>
    <row r="429" spans="1:7" x14ac:dyDescent="0.45">
      <c r="A429">
        <v>2024</v>
      </c>
      <c r="B429" t="s">
        <v>20</v>
      </c>
      <c r="C429">
        <v>692</v>
      </c>
      <c r="D429">
        <v>300</v>
      </c>
      <c r="E429" t="s">
        <v>132</v>
      </c>
      <c r="F429" t="s">
        <v>34</v>
      </c>
      <c r="G429">
        <v>1141402</v>
      </c>
    </row>
    <row r="430" spans="1:7" x14ac:dyDescent="0.45">
      <c r="A430">
        <v>2023</v>
      </c>
      <c r="B430" t="s">
        <v>20</v>
      </c>
      <c r="C430">
        <v>784</v>
      </c>
      <c r="D430">
        <v>540</v>
      </c>
      <c r="E430" t="s">
        <v>132</v>
      </c>
      <c r="F430" t="s">
        <v>30</v>
      </c>
      <c r="G430">
        <v>511374</v>
      </c>
    </row>
    <row r="431" spans="1:7" x14ac:dyDescent="0.45">
      <c r="A431">
        <v>2022</v>
      </c>
      <c r="B431" t="s">
        <v>25</v>
      </c>
      <c r="C431">
        <v>93</v>
      </c>
      <c r="D431">
        <v>852</v>
      </c>
      <c r="E431" t="s">
        <v>133</v>
      </c>
      <c r="F431" t="s">
        <v>30</v>
      </c>
      <c r="G431">
        <v>972776</v>
      </c>
    </row>
    <row r="432" spans="1:7" x14ac:dyDescent="0.45">
      <c r="A432">
        <v>2024</v>
      </c>
      <c r="B432" t="s">
        <v>7</v>
      </c>
      <c r="C432">
        <v>872</v>
      </c>
      <c r="D432">
        <v>249</v>
      </c>
      <c r="E432" t="s">
        <v>133</v>
      </c>
      <c r="F432" t="s">
        <v>34</v>
      </c>
      <c r="G432">
        <v>1380748</v>
      </c>
    </row>
    <row r="433" spans="1:7" x14ac:dyDescent="0.45">
      <c r="A433">
        <v>2024</v>
      </c>
      <c r="B433" t="s">
        <v>20</v>
      </c>
      <c r="C433">
        <v>795</v>
      </c>
      <c r="D433">
        <v>469</v>
      </c>
      <c r="E433" t="s">
        <v>133</v>
      </c>
      <c r="F433" t="s">
        <v>22</v>
      </c>
      <c r="G433">
        <v>1218693</v>
      </c>
    </row>
    <row r="434" spans="1:7" x14ac:dyDescent="0.45">
      <c r="A434">
        <v>2023</v>
      </c>
      <c r="B434" t="s">
        <v>20</v>
      </c>
      <c r="C434">
        <v>312</v>
      </c>
      <c r="D434">
        <v>983</v>
      </c>
      <c r="E434" t="s">
        <v>133</v>
      </c>
      <c r="F434" t="s">
        <v>22</v>
      </c>
      <c r="G434">
        <v>421710</v>
      </c>
    </row>
    <row r="435" spans="1:7" x14ac:dyDescent="0.45">
      <c r="A435">
        <v>2021</v>
      </c>
      <c r="B435" t="s">
        <v>10</v>
      </c>
      <c r="C435">
        <v>810</v>
      </c>
      <c r="D435">
        <v>657</v>
      </c>
      <c r="E435" t="s">
        <v>133</v>
      </c>
      <c r="F435" t="s">
        <v>11</v>
      </c>
      <c r="G435">
        <v>209059</v>
      </c>
    </row>
    <row r="436" spans="1:7" x14ac:dyDescent="0.45">
      <c r="A436">
        <v>2021</v>
      </c>
      <c r="B436" t="s">
        <v>25</v>
      </c>
      <c r="C436">
        <v>616</v>
      </c>
      <c r="D436">
        <v>398</v>
      </c>
      <c r="E436" t="s">
        <v>134</v>
      </c>
      <c r="F436" t="s">
        <v>30</v>
      </c>
      <c r="G436">
        <v>209059</v>
      </c>
    </row>
    <row r="437" spans="1:7" x14ac:dyDescent="0.45">
      <c r="A437">
        <v>2023</v>
      </c>
      <c r="B437" t="s">
        <v>12</v>
      </c>
      <c r="C437">
        <v>872</v>
      </c>
      <c r="D437">
        <v>249</v>
      </c>
      <c r="E437" t="s">
        <v>134</v>
      </c>
      <c r="F437" t="s">
        <v>30</v>
      </c>
      <c r="G437">
        <v>143687</v>
      </c>
    </row>
    <row r="438" spans="1:7" x14ac:dyDescent="0.45">
      <c r="A438">
        <v>2022</v>
      </c>
      <c r="B438" t="s">
        <v>14</v>
      </c>
      <c r="C438">
        <v>168</v>
      </c>
      <c r="D438">
        <v>97</v>
      </c>
      <c r="E438" t="s">
        <v>134</v>
      </c>
      <c r="F438" t="s">
        <v>11</v>
      </c>
      <c r="G438">
        <v>764721</v>
      </c>
    </row>
    <row r="439" spans="1:7" x14ac:dyDescent="0.45">
      <c r="A439">
        <v>2021</v>
      </c>
      <c r="B439" t="s">
        <v>25</v>
      </c>
      <c r="C439">
        <v>616</v>
      </c>
      <c r="D439">
        <v>398</v>
      </c>
      <c r="E439" t="s">
        <v>135</v>
      </c>
      <c r="F439" t="s">
        <v>30</v>
      </c>
      <c r="G439">
        <v>209059</v>
      </c>
    </row>
    <row r="440" spans="1:7" x14ac:dyDescent="0.45">
      <c r="A440">
        <v>2023</v>
      </c>
      <c r="B440" t="s">
        <v>28</v>
      </c>
      <c r="C440">
        <v>210</v>
      </c>
      <c r="D440">
        <v>177</v>
      </c>
      <c r="E440" t="s">
        <v>135</v>
      </c>
      <c r="F440" t="s">
        <v>9</v>
      </c>
      <c r="G440">
        <v>861855</v>
      </c>
    </row>
    <row r="441" spans="1:7" x14ac:dyDescent="0.45">
      <c r="A441">
        <v>2022</v>
      </c>
      <c r="B441" t="s">
        <v>14</v>
      </c>
      <c r="C441">
        <v>597</v>
      </c>
      <c r="D441">
        <v>287</v>
      </c>
      <c r="E441" t="s">
        <v>135</v>
      </c>
      <c r="F441" t="s">
        <v>11</v>
      </c>
      <c r="G441">
        <v>685790</v>
      </c>
    </row>
    <row r="442" spans="1:7" x14ac:dyDescent="0.45">
      <c r="A442">
        <v>2024</v>
      </c>
      <c r="B442" t="s">
        <v>20</v>
      </c>
      <c r="C442">
        <v>692</v>
      </c>
      <c r="D442">
        <v>300</v>
      </c>
      <c r="E442" t="s">
        <v>136</v>
      </c>
      <c r="F442" t="s">
        <v>23</v>
      </c>
      <c r="G442">
        <v>213341</v>
      </c>
    </row>
    <row r="443" spans="1:7" x14ac:dyDescent="0.45">
      <c r="A443">
        <v>2021</v>
      </c>
      <c r="B443" t="s">
        <v>20</v>
      </c>
      <c r="C443">
        <v>573</v>
      </c>
      <c r="D443">
        <v>784</v>
      </c>
      <c r="E443" t="s">
        <v>136</v>
      </c>
      <c r="F443" t="s">
        <v>34</v>
      </c>
      <c r="G443">
        <v>209059</v>
      </c>
    </row>
    <row r="444" spans="1:7" x14ac:dyDescent="0.45">
      <c r="A444">
        <v>2023</v>
      </c>
      <c r="B444" t="s">
        <v>12</v>
      </c>
      <c r="C444">
        <v>403</v>
      </c>
      <c r="D444">
        <v>953</v>
      </c>
      <c r="E444" t="s">
        <v>136</v>
      </c>
      <c r="F444" t="s">
        <v>13</v>
      </c>
      <c r="G444">
        <v>148080</v>
      </c>
    </row>
    <row r="445" spans="1:7" x14ac:dyDescent="0.45">
      <c r="A445">
        <v>2022</v>
      </c>
      <c r="B445" t="s">
        <v>12</v>
      </c>
      <c r="C445">
        <v>312</v>
      </c>
      <c r="D445">
        <v>983</v>
      </c>
      <c r="E445" t="s">
        <v>136</v>
      </c>
      <c r="F445" t="s">
        <v>34</v>
      </c>
      <c r="G445">
        <v>170291</v>
      </c>
    </row>
    <row r="446" spans="1:7" x14ac:dyDescent="0.45">
      <c r="A446">
        <v>2023</v>
      </c>
      <c r="B446" t="s">
        <v>25</v>
      </c>
      <c r="C446">
        <v>795</v>
      </c>
      <c r="D446">
        <v>469</v>
      </c>
      <c r="E446" t="s">
        <v>137</v>
      </c>
      <c r="F446" t="s">
        <v>22</v>
      </c>
      <c r="G446">
        <v>686164</v>
      </c>
    </row>
    <row r="447" spans="1:7" x14ac:dyDescent="0.45">
      <c r="A447">
        <v>2022</v>
      </c>
      <c r="B447" t="s">
        <v>25</v>
      </c>
      <c r="C447">
        <v>413</v>
      </c>
      <c r="D447">
        <v>930</v>
      </c>
      <c r="E447" t="s">
        <v>137</v>
      </c>
      <c r="F447" t="s">
        <v>15</v>
      </c>
      <c r="G447">
        <v>170051</v>
      </c>
    </row>
    <row r="448" spans="1:7" x14ac:dyDescent="0.45">
      <c r="A448">
        <v>2024</v>
      </c>
      <c r="B448" t="s">
        <v>28</v>
      </c>
      <c r="C448">
        <v>168</v>
      </c>
      <c r="D448">
        <v>97</v>
      </c>
      <c r="E448" t="s">
        <v>137</v>
      </c>
      <c r="F448" t="s">
        <v>11</v>
      </c>
      <c r="G448">
        <v>213040</v>
      </c>
    </row>
    <row r="449" spans="1:7" x14ac:dyDescent="0.45">
      <c r="A449">
        <v>2021</v>
      </c>
      <c r="B449" t="s">
        <v>14</v>
      </c>
      <c r="C449">
        <v>537</v>
      </c>
      <c r="D449">
        <v>970</v>
      </c>
      <c r="E449" t="s">
        <v>137</v>
      </c>
      <c r="F449" t="s">
        <v>11</v>
      </c>
      <c r="G449">
        <v>209059</v>
      </c>
    </row>
    <row r="450" spans="1:7" x14ac:dyDescent="0.45">
      <c r="A450">
        <v>2022</v>
      </c>
      <c r="B450" t="s">
        <v>25</v>
      </c>
      <c r="C450">
        <v>287</v>
      </c>
      <c r="D450">
        <v>744</v>
      </c>
      <c r="E450" t="s">
        <v>138</v>
      </c>
      <c r="F450" t="s">
        <v>30</v>
      </c>
      <c r="G450">
        <v>482446</v>
      </c>
    </row>
    <row r="451" spans="1:7" x14ac:dyDescent="0.45">
      <c r="A451">
        <v>2021</v>
      </c>
      <c r="B451" t="s">
        <v>7</v>
      </c>
      <c r="C451">
        <v>869</v>
      </c>
      <c r="D451">
        <v>930</v>
      </c>
      <c r="E451" t="s">
        <v>138</v>
      </c>
      <c r="F451" t="s">
        <v>34</v>
      </c>
      <c r="G451">
        <v>209059</v>
      </c>
    </row>
    <row r="452" spans="1:7" x14ac:dyDescent="0.45">
      <c r="A452">
        <v>2023</v>
      </c>
      <c r="B452" t="s">
        <v>27</v>
      </c>
      <c r="C452">
        <v>872</v>
      </c>
      <c r="D452">
        <v>249</v>
      </c>
      <c r="E452" t="s">
        <v>138</v>
      </c>
      <c r="F452" t="s">
        <v>19</v>
      </c>
      <c r="G452">
        <v>710112</v>
      </c>
    </row>
    <row r="453" spans="1:7" x14ac:dyDescent="0.45">
      <c r="A453">
        <v>2022</v>
      </c>
      <c r="B453" t="s">
        <v>25</v>
      </c>
      <c r="C453">
        <v>568</v>
      </c>
      <c r="D453">
        <v>505</v>
      </c>
      <c r="E453" t="s">
        <v>139</v>
      </c>
      <c r="F453" t="s">
        <v>23</v>
      </c>
      <c r="G453">
        <v>567481</v>
      </c>
    </row>
    <row r="454" spans="1:7" x14ac:dyDescent="0.45">
      <c r="A454">
        <v>2021</v>
      </c>
      <c r="B454" t="s">
        <v>10</v>
      </c>
      <c r="C454">
        <v>810</v>
      </c>
      <c r="D454">
        <v>657</v>
      </c>
      <c r="E454" t="s">
        <v>139</v>
      </c>
      <c r="F454" t="s">
        <v>34</v>
      </c>
      <c r="G454">
        <v>209059</v>
      </c>
    </row>
    <row r="455" spans="1:7" x14ac:dyDescent="0.45">
      <c r="A455">
        <v>2023</v>
      </c>
      <c r="B455" t="s">
        <v>12</v>
      </c>
      <c r="C455">
        <v>839</v>
      </c>
      <c r="D455">
        <v>334</v>
      </c>
      <c r="E455" t="s">
        <v>139</v>
      </c>
      <c r="F455" t="s">
        <v>34</v>
      </c>
      <c r="G455">
        <v>609031</v>
      </c>
    </row>
    <row r="456" spans="1:7" x14ac:dyDescent="0.45">
      <c r="A456">
        <v>2024</v>
      </c>
      <c r="B456" t="s">
        <v>20</v>
      </c>
      <c r="C456">
        <v>210</v>
      </c>
      <c r="D456">
        <v>177</v>
      </c>
      <c r="E456" t="s">
        <v>140</v>
      </c>
      <c r="F456" t="s">
        <v>34</v>
      </c>
      <c r="G456">
        <v>496606</v>
      </c>
    </row>
    <row r="457" spans="1:7" x14ac:dyDescent="0.45">
      <c r="A457">
        <v>2022</v>
      </c>
      <c r="B457" t="s">
        <v>28</v>
      </c>
      <c r="C457">
        <v>168</v>
      </c>
      <c r="D457">
        <v>97</v>
      </c>
      <c r="E457" t="s">
        <v>140</v>
      </c>
      <c r="F457" t="s">
        <v>9</v>
      </c>
      <c r="G457">
        <v>396397</v>
      </c>
    </row>
    <row r="458" spans="1:7" x14ac:dyDescent="0.45">
      <c r="A458">
        <v>2023</v>
      </c>
      <c r="B458" t="s">
        <v>12</v>
      </c>
      <c r="C458">
        <v>930</v>
      </c>
      <c r="D458">
        <v>563</v>
      </c>
      <c r="E458" t="s">
        <v>140</v>
      </c>
      <c r="F458" t="s">
        <v>22</v>
      </c>
      <c r="G458">
        <v>198951</v>
      </c>
    </row>
    <row r="459" spans="1:7" x14ac:dyDescent="0.45">
      <c r="A459">
        <v>2021</v>
      </c>
      <c r="B459" t="s">
        <v>14</v>
      </c>
      <c r="C459">
        <v>975</v>
      </c>
      <c r="D459">
        <v>282</v>
      </c>
      <c r="E459" t="s">
        <v>140</v>
      </c>
      <c r="F459" t="s">
        <v>13</v>
      </c>
      <c r="G459">
        <v>209059</v>
      </c>
    </row>
    <row r="460" spans="1:7" x14ac:dyDescent="0.45">
      <c r="A460">
        <v>2023</v>
      </c>
      <c r="B460" t="s">
        <v>25</v>
      </c>
      <c r="C460">
        <v>413</v>
      </c>
      <c r="D460">
        <v>930</v>
      </c>
      <c r="E460" t="s">
        <v>141</v>
      </c>
      <c r="F460" t="s">
        <v>22</v>
      </c>
      <c r="G460">
        <v>443828</v>
      </c>
    </row>
    <row r="461" spans="1:7" x14ac:dyDescent="0.45">
      <c r="A461">
        <v>2024</v>
      </c>
      <c r="B461" t="s">
        <v>18</v>
      </c>
      <c r="C461">
        <v>568</v>
      </c>
      <c r="D461">
        <v>505</v>
      </c>
      <c r="E461" t="s">
        <v>141</v>
      </c>
      <c r="F461" t="s">
        <v>11</v>
      </c>
      <c r="G461">
        <v>604409</v>
      </c>
    </row>
    <row r="462" spans="1:7" x14ac:dyDescent="0.45">
      <c r="A462">
        <v>2021</v>
      </c>
      <c r="B462" t="s">
        <v>7</v>
      </c>
      <c r="C462">
        <v>591</v>
      </c>
      <c r="D462">
        <v>810</v>
      </c>
      <c r="E462" t="s">
        <v>141</v>
      </c>
      <c r="F462" t="s">
        <v>30</v>
      </c>
      <c r="G462">
        <v>209059</v>
      </c>
    </row>
    <row r="463" spans="1:7" x14ac:dyDescent="0.45">
      <c r="A463">
        <v>2024</v>
      </c>
      <c r="B463" t="s">
        <v>27</v>
      </c>
      <c r="C463">
        <v>872</v>
      </c>
      <c r="D463">
        <v>249</v>
      </c>
      <c r="E463" t="s">
        <v>141</v>
      </c>
      <c r="F463" t="s">
        <v>30</v>
      </c>
      <c r="G463">
        <v>1380748</v>
      </c>
    </row>
    <row r="464" spans="1:7" x14ac:dyDescent="0.45">
      <c r="A464">
        <v>2022</v>
      </c>
      <c r="B464" t="s">
        <v>27</v>
      </c>
      <c r="C464">
        <v>93</v>
      </c>
      <c r="D464">
        <v>852</v>
      </c>
      <c r="E464" t="s">
        <v>141</v>
      </c>
      <c r="F464" t="s">
        <v>11</v>
      </c>
      <c r="G464">
        <v>964759</v>
      </c>
    </row>
    <row r="465" spans="1:7" x14ac:dyDescent="0.45">
      <c r="A465">
        <v>2024</v>
      </c>
      <c r="B465" t="s">
        <v>14</v>
      </c>
      <c r="C465">
        <v>784</v>
      </c>
      <c r="D465">
        <v>540</v>
      </c>
      <c r="E465" t="s">
        <v>141</v>
      </c>
      <c r="F465" t="s">
        <v>22</v>
      </c>
      <c r="G465">
        <v>1208650</v>
      </c>
    </row>
    <row r="466" spans="1:7" x14ac:dyDescent="0.45">
      <c r="A466">
        <v>2023</v>
      </c>
      <c r="B466" t="s">
        <v>7</v>
      </c>
      <c r="C466">
        <v>403</v>
      </c>
      <c r="D466">
        <v>953</v>
      </c>
      <c r="E466" t="s">
        <v>142</v>
      </c>
      <c r="F466" t="s">
        <v>13</v>
      </c>
      <c r="G466">
        <v>148080</v>
      </c>
    </row>
    <row r="467" spans="1:7" x14ac:dyDescent="0.45">
      <c r="A467">
        <v>2022</v>
      </c>
      <c r="B467" t="s">
        <v>28</v>
      </c>
      <c r="C467">
        <v>839</v>
      </c>
      <c r="D467">
        <v>983</v>
      </c>
      <c r="E467" t="s">
        <v>142</v>
      </c>
      <c r="F467" t="s">
        <v>34</v>
      </c>
      <c r="G467">
        <v>660390</v>
      </c>
    </row>
    <row r="468" spans="1:7" x14ac:dyDescent="0.45">
      <c r="A468">
        <v>2021</v>
      </c>
      <c r="B468" t="s">
        <v>12</v>
      </c>
      <c r="C468">
        <v>268</v>
      </c>
      <c r="D468">
        <v>118</v>
      </c>
      <c r="E468" t="s">
        <v>142</v>
      </c>
      <c r="F468" t="s">
        <v>15</v>
      </c>
      <c r="G468">
        <v>209059</v>
      </c>
    </row>
    <row r="469" spans="1:7" x14ac:dyDescent="0.45">
      <c r="A469">
        <v>2021</v>
      </c>
      <c r="B469" t="s">
        <v>16</v>
      </c>
      <c r="C469">
        <v>60</v>
      </c>
      <c r="D469">
        <v>849</v>
      </c>
      <c r="E469" t="s">
        <v>143</v>
      </c>
      <c r="F469" t="s">
        <v>15</v>
      </c>
      <c r="G469">
        <v>209059</v>
      </c>
    </row>
    <row r="470" spans="1:7" x14ac:dyDescent="0.45">
      <c r="A470">
        <v>2022</v>
      </c>
      <c r="B470" t="s">
        <v>25</v>
      </c>
      <c r="C470">
        <v>210</v>
      </c>
      <c r="D470">
        <v>177</v>
      </c>
      <c r="E470" t="s">
        <v>143</v>
      </c>
      <c r="F470" t="s">
        <v>34</v>
      </c>
      <c r="G470">
        <v>275480</v>
      </c>
    </row>
    <row r="471" spans="1:7" x14ac:dyDescent="0.45">
      <c r="A471">
        <v>2023</v>
      </c>
      <c r="B471" t="s">
        <v>28</v>
      </c>
      <c r="C471">
        <v>93</v>
      </c>
      <c r="D471">
        <v>852</v>
      </c>
      <c r="E471" t="s">
        <v>143</v>
      </c>
      <c r="F471" t="s">
        <v>23</v>
      </c>
      <c r="G471">
        <v>660390</v>
      </c>
    </row>
    <row r="472" spans="1:7" x14ac:dyDescent="0.45">
      <c r="A472">
        <v>2024</v>
      </c>
      <c r="B472" t="s">
        <v>12</v>
      </c>
      <c r="C472">
        <v>577</v>
      </c>
      <c r="D472">
        <v>175</v>
      </c>
      <c r="E472" t="s">
        <v>143</v>
      </c>
      <c r="F472" t="s">
        <v>15</v>
      </c>
      <c r="G472">
        <v>345122</v>
      </c>
    </row>
    <row r="473" spans="1:7" x14ac:dyDescent="0.45">
      <c r="A473">
        <v>2023</v>
      </c>
      <c r="B473" t="s">
        <v>16</v>
      </c>
      <c r="C473">
        <v>872</v>
      </c>
      <c r="D473">
        <v>249</v>
      </c>
      <c r="E473" t="s">
        <v>144</v>
      </c>
      <c r="F473" t="s">
        <v>30</v>
      </c>
      <c r="G473">
        <v>707157</v>
      </c>
    </row>
    <row r="474" spans="1:7" x14ac:dyDescent="0.45">
      <c r="A474">
        <v>2024</v>
      </c>
      <c r="B474" t="s">
        <v>7</v>
      </c>
      <c r="C474">
        <v>610</v>
      </c>
      <c r="D474">
        <v>970</v>
      </c>
      <c r="E474" t="s">
        <v>144</v>
      </c>
      <c r="F474" t="s">
        <v>13</v>
      </c>
      <c r="G474">
        <v>189205</v>
      </c>
    </row>
    <row r="475" spans="1:7" x14ac:dyDescent="0.45">
      <c r="A475">
        <v>2022</v>
      </c>
      <c r="B475" t="s">
        <v>28</v>
      </c>
      <c r="C475">
        <v>568</v>
      </c>
      <c r="D475">
        <v>505</v>
      </c>
      <c r="E475" t="s">
        <v>144</v>
      </c>
      <c r="F475" t="s">
        <v>11</v>
      </c>
      <c r="G475">
        <v>151026</v>
      </c>
    </row>
    <row r="476" spans="1:7" x14ac:dyDescent="0.45">
      <c r="A476">
        <v>2021</v>
      </c>
      <c r="B476" t="s">
        <v>12</v>
      </c>
      <c r="C476">
        <v>150</v>
      </c>
      <c r="D476">
        <v>413</v>
      </c>
      <c r="E476" t="s">
        <v>144</v>
      </c>
      <c r="F476" t="s">
        <v>15</v>
      </c>
      <c r="G476">
        <v>209059</v>
      </c>
    </row>
    <row r="477" spans="1:7" x14ac:dyDescent="0.45">
      <c r="A477">
        <v>2024</v>
      </c>
      <c r="B477" t="s">
        <v>25</v>
      </c>
      <c r="C477">
        <v>839</v>
      </c>
      <c r="D477">
        <v>983</v>
      </c>
      <c r="E477" t="s">
        <v>145</v>
      </c>
      <c r="F477" t="s">
        <v>19</v>
      </c>
      <c r="G477">
        <v>1322022</v>
      </c>
    </row>
    <row r="478" spans="1:7" x14ac:dyDescent="0.45">
      <c r="A478">
        <v>2021</v>
      </c>
      <c r="B478" t="s">
        <v>25</v>
      </c>
      <c r="C478">
        <v>851</v>
      </c>
      <c r="D478">
        <v>162</v>
      </c>
      <c r="E478" t="s">
        <v>145</v>
      </c>
      <c r="F478" t="s">
        <v>9</v>
      </c>
      <c r="G478">
        <v>151026</v>
      </c>
    </row>
    <row r="479" spans="1:7" x14ac:dyDescent="0.45">
      <c r="A479">
        <v>2023</v>
      </c>
      <c r="B479" t="s">
        <v>7</v>
      </c>
      <c r="C479">
        <v>930</v>
      </c>
      <c r="D479">
        <v>563</v>
      </c>
      <c r="E479" t="s">
        <v>145</v>
      </c>
      <c r="F479" t="s">
        <v>9</v>
      </c>
      <c r="G479">
        <v>705535</v>
      </c>
    </row>
    <row r="480" spans="1:7" x14ac:dyDescent="0.45">
      <c r="A480">
        <v>2024</v>
      </c>
      <c r="B480" t="s">
        <v>20</v>
      </c>
      <c r="C480">
        <v>577</v>
      </c>
      <c r="D480">
        <v>175</v>
      </c>
      <c r="E480" t="s">
        <v>145</v>
      </c>
      <c r="F480" t="s">
        <v>15</v>
      </c>
      <c r="G480">
        <v>1380748</v>
      </c>
    </row>
    <row r="481" spans="1:7" x14ac:dyDescent="0.45">
      <c r="A481">
        <v>2022</v>
      </c>
      <c r="B481" t="s">
        <v>12</v>
      </c>
      <c r="C481">
        <v>577</v>
      </c>
      <c r="D481">
        <v>175</v>
      </c>
      <c r="E481" t="s">
        <v>145</v>
      </c>
      <c r="F481" t="s">
        <v>34</v>
      </c>
      <c r="G481">
        <v>1055253</v>
      </c>
    </row>
    <row r="482" spans="1:7" x14ac:dyDescent="0.45">
      <c r="A482">
        <v>2024</v>
      </c>
      <c r="B482" t="s">
        <v>16</v>
      </c>
      <c r="C482">
        <v>312</v>
      </c>
      <c r="D482">
        <v>983</v>
      </c>
      <c r="E482" t="s">
        <v>146</v>
      </c>
      <c r="F482" t="s">
        <v>19</v>
      </c>
      <c r="G482">
        <v>288646</v>
      </c>
    </row>
    <row r="483" spans="1:7" x14ac:dyDescent="0.45">
      <c r="A483">
        <v>2022</v>
      </c>
      <c r="B483" t="s">
        <v>16</v>
      </c>
      <c r="C483">
        <v>839</v>
      </c>
      <c r="D483">
        <v>983</v>
      </c>
      <c r="E483" t="s">
        <v>146</v>
      </c>
      <c r="F483" t="s">
        <v>22</v>
      </c>
      <c r="G483">
        <v>230400</v>
      </c>
    </row>
    <row r="484" spans="1:7" x14ac:dyDescent="0.45">
      <c r="A484">
        <v>2023</v>
      </c>
      <c r="B484" t="s">
        <v>18</v>
      </c>
      <c r="C484">
        <v>93</v>
      </c>
      <c r="D484">
        <v>852</v>
      </c>
      <c r="E484" t="s">
        <v>146</v>
      </c>
      <c r="F484" t="s">
        <v>22</v>
      </c>
      <c r="G484">
        <v>1070216</v>
      </c>
    </row>
    <row r="485" spans="1:7" x14ac:dyDescent="0.45">
      <c r="A485">
        <v>2021</v>
      </c>
      <c r="B485" t="s">
        <v>20</v>
      </c>
      <c r="C485">
        <v>843</v>
      </c>
      <c r="D485">
        <v>839</v>
      </c>
      <c r="E485" t="s">
        <v>146</v>
      </c>
      <c r="F485" t="s">
        <v>23</v>
      </c>
      <c r="G485">
        <v>209059</v>
      </c>
    </row>
    <row r="486" spans="1:7" x14ac:dyDescent="0.45">
      <c r="A486">
        <v>2022</v>
      </c>
      <c r="B486" t="s">
        <v>25</v>
      </c>
      <c r="C486">
        <v>839</v>
      </c>
      <c r="D486">
        <v>334</v>
      </c>
      <c r="E486" t="s">
        <v>147</v>
      </c>
      <c r="F486" t="s">
        <v>19</v>
      </c>
      <c r="G486">
        <v>199691</v>
      </c>
    </row>
    <row r="487" spans="1:7" x14ac:dyDescent="0.45">
      <c r="A487">
        <v>2023</v>
      </c>
      <c r="B487" t="s">
        <v>10</v>
      </c>
      <c r="C487">
        <v>168</v>
      </c>
      <c r="D487">
        <v>97</v>
      </c>
      <c r="E487" t="s">
        <v>147</v>
      </c>
      <c r="F487" t="s">
        <v>34</v>
      </c>
      <c r="G487">
        <v>250257</v>
      </c>
    </row>
    <row r="488" spans="1:7" x14ac:dyDescent="0.45">
      <c r="A488">
        <v>2024</v>
      </c>
      <c r="B488" t="s">
        <v>28</v>
      </c>
      <c r="C488">
        <v>610</v>
      </c>
      <c r="D488">
        <v>970</v>
      </c>
      <c r="E488" t="s">
        <v>147</v>
      </c>
      <c r="F488" t="s">
        <v>30</v>
      </c>
      <c r="G488">
        <v>250173</v>
      </c>
    </row>
    <row r="489" spans="1:7" x14ac:dyDescent="0.45">
      <c r="A489">
        <v>2021</v>
      </c>
      <c r="B489" t="s">
        <v>14</v>
      </c>
      <c r="C489">
        <v>86</v>
      </c>
      <c r="D489">
        <v>232</v>
      </c>
      <c r="E489" t="s">
        <v>147</v>
      </c>
      <c r="F489" t="s">
        <v>13</v>
      </c>
      <c r="G489">
        <v>209059</v>
      </c>
    </row>
    <row r="490" spans="1:7" x14ac:dyDescent="0.45">
      <c r="A490">
        <v>2024</v>
      </c>
      <c r="B490" t="s">
        <v>25</v>
      </c>
      <c r="C490">
        <v>784</v>
      </c>
      <c r="D490">
        <v>540</v>
      </c>
      <c r="E490" t="s">
        <v>148</v>
      </c>
      <c r="F490" t="s">
        <v>30</v>
      </c>
      <c r="G490">
        <v>430367</v>
      </c>
    </row>
    <row r="491" spans="1:7" x14ac:dyDescent="0.45">
      <c r="A491">
        <v>2021</v>
      </c>
      <c r="B491" t="s">
        <v>27</v>
      </c>
      <c r="C491">
        <v>256</v>
      </c>
      <c r="D491">
        <v>839</v>
      </c>
      <c r="E491" t="s">
        <v>148</v>
      </c>
      <c r="F491" t="s">
        <v>19</v>
      </c>
      <c r="G491">
        <v>209059</v>
      </c>
    </row>
    <row r="492" spans="1:7" x14ac:dyDescent="0.45">
      <c r="A492">
        <v>2023</v>
      </c>
      <c r="B492" t="s">
        <v>28</v>
      </c>
      <c r="C492">
        <v>577</v>
      </c>
      <c r="D492">
        <v>175</v>
      </c>
      <c r="E492" t="s">
        <v>148</v>
      </c>
      <c r="F492" t="s">
        <v>13</v>
      </c>
      <c r="G492">
        <v>148080</v>
      </c>
    </row>
    <row r="493" spans="1:7" x14ac:dyDescent="0.45">
      <c r="A493">
        <v>2022</v>
      </c>
      <c r="B493" t="s">
        <v>14</v>
      </c>
      <c r="C493">
        <v>610</v>
      </c>
      <c r="D493">
        <v>970</v>
      </c>
      <c r="E493" t="s">
        <v>148</v>
      </c>
      <c r="F493" t="s">
        <v>13</v>
      </c>
      <c r="G493">
        <v>472993</v>
      </c>
    </row>
    <row r="494" spans="1:7" x14ac:dyDescent="0.45">
      <c r="A494">
        <v>2021</v>
      </c>
      <c r="B494" t="s">
        <v>18</v>
      </c>
      <c r="C494">
        <v>386</v>
      </c>
      <c r="D494">
        <v>287</v>
      </c>
      <c r="E494" t="s">
        <v>149</v>
      </c>
      <c r="F494" t="s">
        <v>13</v>
      </c>
      <c r="G494">
        <v>209059</v>
      </c>
    </row>
    <row r="495" spans="1:7" x14ac:dyDescent="0.45">
      <c r="A495">
        <v>2023</v>
      </c>
      <c r="B495" t="s">
        <v>7</v>
      </c>
      <c r="C495">
        <v>839</v>
      </c>
      <c r="D495">
        <v>983</v>
      </c>
      <c r="E495" t="s">
        <v>149</v>
      </c>
      <c r="F495" t="s">
        <v>22</v>
      </c>
      <c r="G495">
        <v>966179</v>
      </c>
    </row>
    <row r="496" spans="1:7" x14ac:dyDescent="0.45">
      <c r="A496">
        <v>2022</v>
      </c>
      <c r="B496" t="s">
        <v>20</v>
      </c>
      <c r="C496">
        <v>784</v>
      </c>
      <c r="D496">
        <v>540</v>
      </c>
      <c r="E496" t="s">
        <v>149</v>
      </c>
      <c r="F496" t="s">
        <v>22</v>
      </c>
      <c r="G496">
        <v>508671</v>
      </c>
    </row>
    <row r="497" spans="1:7" x14ac:dyDescent="0.45">
      <c r="A497">
        <v>2023</v>
      </c>
      <c r="B497" t="s">
        <v>25</v>
      </c>
      <c r="C497">
        <v>968</v>
      </c>
      <c r="D497">
        <v>330</v>
      </c>
      <c r="E497" t="s">
        <v>150</v>
      </c>
      <c r="F497" t="s">
        <v>11</v>
      </c>
      <c r="G497">
        <v>340865</v>
      </c>
    </row>
    <row r="498" spans="1:7" x14ac:dyDescent="0.45">
      <c r="A498">
        <v>2021</v>
      </c>
      <c r="B498" t="s">
        <v>27</v>
      </c>
      <c r="C498">
        <v>615</v>
      </c>
      <c r="D498">
        <v>851</v>
      </c>
      <c r="E498" t="s">
        <v>150</v>
      </c>
      <c r="F498" t="s">
        <v>11</v>
      </c>
      <c r="G498">
        <v>655095</v>
      </c>
    </row>
    <row r="499" spans="1:7" x14ac:dyDescent="0.45">
      <c r="A499">
        <v>2022</v>
      </c>
      <c r="B499" t="s">
        <v>28</v>
      </c>
      <c r="C499">
        <v>568</v>
      </c>
      <c r="D499">
        <v>505</v>
      </c>
      <c r="E499" t="s">
        <v>150</v>
      </c>
      <c r="F499" t="s">
        <v>11</v>
      </c>
      <c r="G499">
        <v>352427</v>
      </c>
    </row>
    <row r="500" spans="1:7" x14ac:dyDescent="0.45">
      <c r="A500">
        <v>2024</v>
      </c>
      <c r="B500" t="s">
        <v>14</v>
      </c>
      <c r="C500">
        <v>795</v>
      </c>
      <c r="D500">
        <v>469</v>
      </c>
      <c r="E500" t="s">
        <v>150</v>
      </c>
      <c r="F500" t="s">
        <v>19</v>
      </c>
      <c r="G500">
        <v>441520</v>
      </c>
    </row>
    <row r="501" spans="1:7" x14ac:dyDescent="0.45">
      <c r="A501">
        <v>2024</v>
      </c>
      <c r="B501" t="s">
        <v>7</v>
      </c>
      <c r="C501">
        <v>930</v>
      </c>
      <c r="D501">
        <v>563</v>
      </c>
      <c r="E501" t="s">
        <v>151</v>
      </c>
      <c r="F501" t="s">
        <v>9</v>
      </c>
      <c r="G501">
        <v>1290034</v>
      </c>
    </row>
    <row r="502" spans="1:7" x14ac:dyDescent="0.45">
      <c r="A502">
        <v>2022</v>
      </c>
      <c r="B502" t="s">
        <v>7</v>
      </c>
      <c r="C502">
        <v>610</v>
      </c>
      <c r="D502">
        <v>970</v>
      </c>
      <c r="E502" t="s">
        <v>151</v>
      </c>
      <c r="F502" t="s">
        <v>11</v>
      </c>
      <c r="G502">
        <v>1029721</v>
      </c>
    </row>
    <row r="503" spans="1:7" x14ac:dyDescent="0.45">
      <c r="A503">
        <v>2021</v>
      </c>
      <c r="B503" t="s">
        <v>20</v>
      </c>
      <c r="C503">
        <v>843</v>
      </c>
      <c r="D503">
        <v>839</v>
      </c>
      <c r="E503" t="s">
        <v>151</v>
      </c>
      <c r="F503" t="s">
        <v>11</v>
      </c>
      <c r="G503">
        <v>701037</v>
      </c>
    </row>
    <row r="504" spans="1:7" x14ac:dyDescent="0.45">
      <c r="A504">
        <v>2024</v>
      </c>
      <c r="B504" t="s">
        <v>10</v>
      </c>
      <c r="C504">
        <v>610</v>
      </c>
      <c r="D504">
        <v>970</v>
      </c>
      <c r="E504" t="s">
        <v>151</v>
      </c>
      <c r="F504" t="s">
        <v>19</v>
      </c>
      <c r="G504">
        <v>1380748</v>
      </c>
    </row>
    <row r="505" spans="1:7" x14ac:dyDescent="0.45">
      <c r="A505">
        <v>2023</v>
      </c>
      <c r="B505" t="s">
        <v>10</v>
      </c>
      <c r="C505">
        <v>168</v>
      </c>
      <c r="D505">
        <v>97</v>
      </c>
      <c r="E505" t="s">
        <v>151</v>
      </c>
      <c r="F505" t="s">
        <v>34</v>
      </c>
      <c r="G505">
        <v>482446</v>
      </c>
    </row>
    <row r="506" spans="1:7" x14ac:dyDescent="0.45">
      <c r="A506">
        <v>2024</v>
      </c>
      <c r="B506" t="s">
        <v>14</v>
      </c>
      <c r="C506">
        <v>610</v>
      </c>
      <c r="D506">
        <v>970</v>
      </c>
      <c r="E506" t="s">
        <v>151</v>
      </c>
      <c r="F506" t="s">
        <v>11</v>
      </c>
      <c r="G506">
        <v>710940</v>
      </c>
    </row>
    <row r="507" spans="1:7" x14ac:dyDescent="0.45">
      <c r="A507">
        <v>2021</v>
      </c>
      <c r="B507" t="s">
        <v>16</v>
      </c>
      <c r="C507">
        <v>590</v>
      </c>
      <c r="D507">
        <v>268</v>
      </c>
      <c r="E507" t="s">
        <v>152</v>
      </c>
      <c r="F507" t="s">
        <v>11</v>
      </c>
      <c r="G507">
        <v>816850</v>
      </c>
    </row>
    <row r="508" spans="1:7" x14ac:dyDescent="0.45">
      <c r="A508">
        <v>2023</v>
      </c>
      <c r="B508" t="s">
        <v>25</v>
      </c>
      <c r="C508">
        <v>692</v>
      </c>
      <c r="D508">
        <v>300</v>
      </c>
      <c r="E508" t="s">
        <v>152</v>
      </c>
      <c r="F508" t="s">
        <v>19</v>
      </c>
      <c r="G508">
        <v>1031250</v>
      </c>
    </row>
    <row r="509" spans="1:7" x14ac:dyDescent="0.45">
      <c r="A509">
        <v>2022</v>
      </c>
      <c r="B509" t="s">
        <v>25</v>
      </c>
      <c r="C509">
        <v>210</v>
      </c>
      <c r="D509">
        <v>177</v>
      </c>
      <c r="E509" t="s">
        <v>152</v>
      </c>
      <c r="F509" t="s">
        <v>34</v>
      </c>
      <c r="G509">
        <v>521766</v>
      </c>
    </row>
    <row r="510" spans="1:7" x14ac:dyDescent="0.45">
      <c r="A510">
        <v>2024</v>
      </c>
      <c r="B510" t="s">
        <v>12</v>
      </c>
      <c r="C510">
        <v>413</v>
      </c>
      <c r="D510">
        <v>930</v>
      </c>
      <c r="E510" t="s">
        <v>152</v>
      </c>
      <c r="F510" t="s">
        <v>30</v>
      </c>
      <c r="G510">
        <v>653669</v>
      </c>
    </row>
    <row r="511" spans="1:7" x14ac:dyDescent="0.45">
      <c r="A511">
        <v>2021</v>
      </c>
      <c r="B511" t="s">
        <v>10</v>
      </c>
      <c r="C511">
        <v>810</v>
      </c>
      <c r="D511">
        <v>657</v>
      </c>
      <c r="E511" t="s">
        <v>153</v>
      </c>
      <c r="F511" t="s">
        <v>11</v>
      </c>
      <c r="G511">
        <v>819636</v>
      </c>
    </row>
    <row r="512" spans="1:7" x14ac:dyDescent="0.45">
      <c r="A512">
        <v>2023</v>
      </c>
      <c r="B512" t="s">
        <v>12</v>
      </c>
      <c r="C512">
        <v>692</v>
      </c>
      <c r="D512">
        <v>300</v>
      </c>
      <c r="E512" t="s">
        <v>153</v>
      </c>
      <c r="F512" t="s">
        <v>11</v>
      </c>
      <c r="G512">
        <v>1001066</v>
      </c>
    </row>
    <row r="513" spans="1:7" x14ac:dyDescent="0.45">
      <c r="A513">
        <v>2022</v>
      </c>
      <c r="B513" t="s">
        <v>12</v>
      </c>
      <c r="C513">
        <v>287</v>
      </c>
      <c r="D513">
        <v>744</v>
      </c>
      <c r="E513" t="s">
        <v>153</v>
      </c>
      <c r="F513" t="s">
        <v>22</v>
      </c>
      <c r="G513">
        <v>954561</v>
      </c>
    </row>
    <row r="514" spans="1:7" x14ac:dyDescent="0.45">
      <c r="A514">
        <v>2024</v>
      </c>
      <c r="B514" t="s">
        <v>14</v>
      </c>
      <c r="C514">
        <v>784</v>
      </c>
      <c r="D514">
        <v>540</v>
      </c>
      <c r="E514" t="s">
        <v>153</v>
      </c>
      <c r="F514" t="s">
        <v>30</v>
      </c>
      <c r="G514">
        <v>1026840</v>
      </c>
    </row>
    <row r="515" spans="1:7" x14ac:dyDescent="0.45">
      <c r="A515">
        <v>2024</v>
      </c>
      <c r="B515" t="s">
        <v>14</v>
      </c>
      <c r="C515">
        <v>312</v>
      </c>
      <c r="D515">
        <v>983</v>
      </c>
      <c r="E515" t="s">
        <v>153</v>
      </c>
      <c r="F515" t="s">
        <v>9</v>
      </c>
      <c r="G515">
        <v>1380748</v>
      </c>
    </row>
    <row r="516" spans="1:7" x14ac:dyDescent="0.45">
      <c r="A516">
        <v>2024</v>
      </c>
      <c r="B516" t="s">
        <v>7</v>
      </c>
      <c r="C516">
        <v>287</v>
      </c>
      <c r="D516">
        <v>744</v>
      </c>
      <c r="E516" t="s">
        <v>154</v>
      </c>
      <c r="F516" t="s">
        <v>15</v>
      </c>
      <c r="G516">
        <v>209180</v>
      </c>
    </row>
    <row r="517" spans="1:7" x14ac:dyDescent="0.45">
      <c r="A517">
        <v>2023</v>
      </c>
      <c r="B517" t="s">
        <v>27</v>
      </c>
      <c r="C517">
        <v>839</v>
      </c>
      <c r="D517">
        <v>983</v>
      </c>
      <c r="E517" t="s">
        <v>154</v>
      </c>
      <c r="F517" t="s">
        <v>15</v>
      </c>
      <c r="G517">
        <v>522516</v>
      </c>
    </row>
    <row r="518" spans="1:7" x14ac:dyDescent="0.45">
      <c r="A518">
        <v>2021</v>
      </c>
      <c r="B518" t="s">
        <v>28</v>
      </c>
      <c r="C518">
        <v>351</v>
      </c>
      <c r="D518">
        <v>918</v>
      </c>
      <c r="E518" t="s">
        <v>154</v>
      </c>
      <c r="F518" t="s">
        <v>23</v>
      </c>
      <c r="G518">
        <v>206253</v>
      </c>
    </row>
    <row r="519" spans="1:7" x14ac:dyDescent="0.45">
      <c r="A519">
        <v>2022</v>
      </c>
      <c r="B519" t="s">
        <v>14</v>
      </c>
      <c r="C519">
        <v>577</v>
      </c>
      <c r="D519">
        <v>175</v>
      </c>
      <c r="E519" t="s">
        <v>154</v>
      </c>
      <c r="F519" t="s">
        <v>15</v>
      </c>
      <c r="G519">
        <v>166970</v>
      </c>
    </row>
    <row r="520" spans="1:7" x14ac:dyDescent="0.45">
      <c r="A520">
        <v>2024</v>
      </c>
      <c r="B520" t="s">
        <v>16</v>
      </c>
      <c r="C520">
        <v>568</v>
      </c>
      <c r="D520">
        <v>505</v>
      </c>
      <c r="E520" t="s">
        <v>155</v>
      </c>
      <c r="F520" t="s">
        <v>9</v>
      </c>
      <c r="G520">
        <v>1192630</v>
      </c>
    </row>
    <row r="521" spans="1:7" x14ac:dyDescent="0.45">
      <c r="A521">
        <v>2024</v>
      </c>
      <c r="B521" t="s">
        <v>25</v>
      </c>
      <c r="C521">
        <v>795</v>
      </c>
      <c r="D521">
        <v>469</v>
      </c>
      <c r="E521" t="s">
        <v>155</v>
      </c>
      <c r="F521" t="s">
        <v>22</v>
      </c>
      <c r="G521">
        <v>1380748</v>
      </c>
    </row>
    <row r="522" spans="1:7" x14ac:dyDescent="0.45">
      <c r="A522">
        <v>2022</v>
      </c>
      <c r="B522" t="s">
        <v>25</v>
      </c>
      <c r="C522">
        <v>287</v>
      </c>
      <c r="D522">
        <v>744</v>
      </c>
      <c r="E522" t="s">
        <v>155</v>
      </c>
      <c r="F522" t="s">
        <v>34</v>
      </c>
      <c r="G522">
        <v>951972</v>
      </c>
    </row>
    <row r="523" spans="1:7" x14ac:dyDescent="0.45">
      <c r="A523">
        <v>2021</v>
      </c>
      <c r="B523" t="s">
        <v>20</v>
      </c>
      <c r="C523">
        <v>911</v>
      </c>
      <c r="D523">
        <v>105</v>
      </c>
      <c r="E523" t="s">
        <v>155</v>
      </c>
      <c r="F523" t="s">
        <v>19</v>
      </c>
      <c r="G523">
        <v>517632</v>
      </c>
    </row>
    <row r="524" spans="1:7" x14ac:dyDescent="0.45">
      <c r="A524">
        <v>2024</v>
      </c>
      <c r="B524" t="s">
        <v>12</v>
      </c>
      <c r="C524">
        <v>692</v>
      </c>
      <c r="D524">
        <v>300</v>
      </c>
      <c r="E524" t="s">
        <v>155</v>
      </c>
      <c r="F524" t="s">
        <v>19</v>
      </c>
      <c r="G524">
        <v>643582</v>
      </c>
    </row>
    <row r="525" spans="1:7" x14ac:dyDescent="0.45">
      <c r="A525">
        <v>2023</v>
      </c>
      <c r="B525" t="s">
        <v>12</v>
      </c>
      <c r="C525">
        <v>872</v>
      </c>
      <c r="D525">
        <v>249</v>
      </c>
      <c r="E525" t="s">
        <v>155</v>
      </c>
      <c r="F525" t="s">
        <v>30</v>
      </c>
      <c r="G525">
        <v>979711</v>
      </c>
    </row>
    <row r="526" spans="1:7" x14ac:dyDescent="0.45">
      <c r="A526">
        <v>2023</v>
      </c>
      <c r="B526" t="s">
        <v>25</v>
      </c>
      <c r="C526">
        <v>413</v>
      </c>
      <c r="D526">
        <v>930</v>
      </c>
      <c r="E526" t="s">
        <v>156</v>
      </c>
      <c r="F526" t="s">
        <v>15</v>
      </c>
      <c r="G526">
        <v>244617</v>
      </c>
    </row>
    <row r="527" spans="1:7" x14ac:dyDescent="0.45">
      <c r="A527">
        <v>2021</v>
      </c>
      <c r="B527" t="s">
        <v>25</v>
      </c>
      <c r="C527">
        <v>515</v>
      </c>
      <c r="D527">
        <v>210</v>
      </c>
      <c r="E527" t="s">
        <v>156</v>
      </c>
      <c r="F527" t="s">
        <v>30</v>
      </c>
      <c r="G527">
        <v>219683</v>
      </c>
    </row>
    <row r="528" spans="1:7" x14ac:dyDescent="0.45">
      <c r="A528">
        <v>2024</v>
      </c>
      <c r="B528" t="s">
        <v>18</v>
      </c>
      <c r="C528">
        <v>795</v>
      </c>
      <c r="D528">
        <v>469</v>
      </c>
      <c r="E528" t="s">
        <v>156</v>
      </c>
      <c r="F528" t="s">
        <v>22</v>
      </c>
      <c r="G528">
        <v>154878</v>
      </c>
    </row>
    <row r="529" spans="1:7" x14ac:dyDescent="0.45">
      <c r="A529">
        <v>2022</v>
      </c>
      <c r="B529" t="s">
        <v>14</v>
      </c>
      <c r="C529">
        <v>968</v>
      </c>
      <c r="D529">
        <v>330</v>
      </c>
      <c r="E529" t="s">
        <v>156</v>
      </c>
      <c r="F529" t="s">
        <v>13</v>
      </c>
      <c r="G529">
        <v>472993</v>
      </c>
    </row>
    <row r="530" spans="1:7" x14ac:dyDescent="0.45">
      <c r="A530">
        <v>2023</v>
      </c>
      <c r="B530" t="s">
        <v>25</v>
      </c>
      <c r="C530">
        <v>968</v>
      </c>
      <c r="D530">
        <v>330</v>
      </c>
      <c r="E530" t="s">
        <v>157</v>
      </c>
      <c r="F530" t="s">
        <v>9</v>
      </c>
      <c r="G530">
        <v>633797</v>
      </c>
    </row>
    <row r="531" spans="1:7" x14ac:dyDescent="0.45">
      <c r="A531">
        <v>2022</v>
      </c>
      <c r="B531" t="s">
        <v>18</v>
      </c>
      <c r="C531">
        <v>795</v>
      </c>
      <c r="D531">
        <v>469</v>
      </c>
      <c r="E531" t="s">
        <v>157</v>
      </c>
      <c r="F531" t="s">
        <v>22</v>
      </c>
      <c r="G531">
        <v>586849</v>
      </c>
    </row>
    <row r="532" spans="1:7" x14ac:dyDescent="0.45">
      <c r="A532">
        <v>2021</v>
      </c>
      <c r="B532" t="s">
        <v>28</v>
      </c>
      <c r="C532">
        <v>849</v>
      </c>
      <c r="D532">
        <v>156</v>
      </c>
      <c r="E532" t="s">
        <v>157</v>
      </c>
      <c r="F532" t="s">
        <v>19</v>
      </c>
      <c r="G532">
        <v>907698</v>
      </c>
    </row>
    <row r="533" spans="1:7" x14ac:dyDescent="0.45">
      <c r="A533">
        <v>2024</v>
      </c>
      <c r="B533" t="s">
        <v>12</v>
      </c>
      <c r="C533">
        <v>839</v>
      </c>
      <c r="D533">
        <v>334</v>
      </c>
      <c r="E533" t="s">
        <v>157</v>
      </c>
      <c r="F533" t="s">
        <v>19</v>
      </c>
      <c r="G533">
        <v>735205</v>
      </c>
    </row>
    <row r="534" spans="1:7" x14ac:dyDescent="0.45">
      <c r="A534">
        <v>2024</v>
      </c>
      <c r="B534" t="s">
        <v>25</v>
      </c>
      <c r="C534">
        <v>568</v>
      </c>
      <c r="D534">
        <v>505</v>
      </c>
      <c r="E534" t="s">
        <v>158</v>
      </c>
      <c r="F534" t="s">
        <v>30</v>
      </c>
      <c r="G534">
        <v>1380748</v>
      </c>
    </row>
    <row r="535" spans="1:7" x14ac:dyDescent="0.45">
      <c r="A535">
        <v>2023</v>
      </c>
      <c r="B535" t="s">
        <v>18</v>
      </c>
      <c r="C535">
        <v>403</v>
      </c>
      <c r="D535">
        <v>953</v>
      </c>
      <c r="E535" t="s">
        <v>158</v>
      </c>
      <c r="F535" t="s">
        <v>13</v>
      </c>
      <c r="G535">
        <v>148080</v>
      </c>
    </row>
    <row r="536" spans="1:7" x14ac:dyDescent="0.45">
      <c r="A536">
        <v>2024</v>
      </c>
      <c r="B536" t="s">
        <v>7</v>
      </c>
      <c r="C536">
        <v>839</v>
      </c>
      <c r="D536">
        <v>334</v>
      </c>
      <c r="E536" t="s">
        <v>158</v>
      </c>
      <c r="F536" t="s">
        <v>23</v>
      </c>
      <c r="G536">
        <v>1174103</v>
      </c>
    </row>
    <row r="537" spans="1:7" x14ac:dyDescent="0.45">
      <c r="A537">
        <v>2021</v>
      </c>
      <c r="B537" t="s">
        <v>7</v>
      </c>
      <c r="C537">
        <v>591</v>
      </c>
      <c r="D537">
        <v>810</v>
      </c>
      <c r="E537" t="s">
        <v>158</v>
      </c>
      <c r="F537" t="s">
        <v>23</v>
      </c>
      <c r="G537">
        <v>511374</v>
      </c>
    </row>
    <row r="538" spans="1:7" x14ac:dyDescent="0.45">
      <c r="A538">
        <v>2022</v>
      </c>
      <c r="B538" t="s">
        <v>20</v>
      </c>
      <c r="C538">
        <v>312</v>
      </c>
      <c r="D538">
        <v>983</v>
      </c>
      <c r="E538" t="s">
        <v>158</v>
      </c>
      <c r="F538" t="s">
        <v>22</v>
      </c>
      <c r="G538">
        <v>937183</v>
      </c>
    </row>
    <row r="539" spans="1:7" x14ac:dyDescent="0.45">
      <c r="A539">
        <v>2024</v>
      </c>
      <c r="B539" t="s">
        <v>14</v>
      </c>
      <c r="C539">
        <v>784</v>
      </c>
      <c r="D539">
        <v>540</v>
      </c>
      <c r="E539" t="s">
        <v>158</v>
      </c>
      <c r="F539" t="s">
        <v>30</v>
      </c>
      <c r="G539">
        <v>1004613</v>
      </c>
    </row>
    <row r="540" spans="1:7" x14ac:dyDescent="0.45">
      <c r="A540">
        <v>2022</v>
      </c>
      <c r="B540" t="s">
        <v>25</v>
      </c>
      <c r="C540">
        <v>839</v>
      </c>
      <c r="D540">
        <v>334</v>
      </c>
      <c r="E540" t="s">
        <v>159</v>
      </c>
      <c r="F540" t="s">
        <v>19</v>
      </c>
      <c r="G540">
        <v>925289</v>
      </c>
    </row>
    <row r="541" spans="1:7" x14ac:dyDescent="0.45">
      <c r="A541">
        <v>2024</v>
      </c>
      <c r="B541" t="s">
        <v>28</v>
      </c>
      <c r="C541">
        <v>839</v>
      </c>
      <c r="D541">
        <v>983</v>
      </c>
      <c r="E541" t="s">
        <v>159</v>
      </c>
      <c r="F541" t="s">
        <v>34</v>
      </c>
      <c r="G541">
        <v>1159202</v>
      </c>
    </row>
    <row r="542" spans="1:7" x14ac:dyDescent="0.45">
      <c r="A542">
        <v>2024</v>
      </c>
      <c r="B542" t="s">
        <v>12</v>
      </c>
      <c r="C542">
        <v>413</v>
      </c>
      <c r="D542">
        <v>930</v>
      </c>
      <c r="E542" t="s">
        <v>159</v>
      </c>
      <c r="F542" t="s">
        <v>15</v>
      </c>
      <c r="G542">
        <v>1133839</v>
      </c>
    </row>
    <row r="543" spans="1:7" x14ac:dyDescent="0.45">
      <c r="A543">
        <v>2023</v>
      </c>
      <c r="B543" t="s">
        <v>12</v>
      </c>
      <c r="C543">
        <v>610</v>
      </c>
      <c r="D543">
        <v>970</v>
      </c>
      <c r="E543" t="s">
        <v>159</v>
      </c>
      <c r="F543" t="s">
        <v>23</v>
      </c>
      <c r="G543">
        <v>999312</v>
      </c>
    </row>
    <row r="544" spans="1:7" x14ac:dyDescent="0.45">
      <c r="A544">
        <v>2021</v>
      </c>
      <c r="B544" t="s">
        <v>14</v>
      </c>
      <c r="C544">
        <v>232</v>
      </c>
      <c r="D544">
        <v>351</v>
      </c>
      <c r="E544" t="s">
        <v>159</v>
      </c>
      <c r="F544" t="s">
        <v>15</v>
      </c>
      <c r="G544">
        <v>421710</v>
      </c>
    </row>
    <row r="545" spans="1:7" x14ac:dyDescent="0.45">
      <c r="A545">
        <v>2022</v>
      </c>
      <c r="B545" t="s">
        <v>20</v>
      </c>
      <c r="C545">
        <v>784</v>
      </c>
      <c r="D545">
        <v>540</v>
      </c>
      <c r="E545" t="s">
        <v>160</v>
      </c>
      <c r="F545" t="s">
        <v>30</v>
      </c>
      <c r="G545">
        <v>255250</v>
      </c>
    </row>
    <row r="546" spans="1:7" x14ac:dyDescent="0.45">
      <c r="A546">
        <v>2023</v>
      </c>
      <c r="B546" t="s">
        <v>10</v>
      </c>
      <c r="C546">
        <v>749</v>
      </c>
      <c r="D546">
        <v>648</v>
      </c>
      <c r="E546" t="s">
        <v>160</v>
      </c>
      <c r="F546" t="s">
        <v>11</v>
      </c>
      <c r="G546">
        <v>275670</v>
      </c>
    </row>
    <row r="547" spans="1:7" x14ac:dyDescent="0.45">
      <c r="A547">
        <v>2024</v>
      </c>
      <c r="B547" t="s">
        <v>14</v>
      </c>
      <c r="C547">
        <v>287</v>
      </c>
      <c r="D547">
        <v>744</v>
      </c>
      <c r="E547" t="s">
        <v>160</v>
      </c>
      <c r="F547" t="s">
        <v>22</v>
      </c>
      <c r="G547">
        <v>319777</v>
      </c>
    </row>
    <row r="548" spans="1:7" x14ac:dyDescent="0.45">
      <c r="A548">
        <v>2021</v>
      </c>
      <c r="B548" t="s">
        <v>14</v>
      </c>
      <c r="C548">
        <v>537</v>
      </c>
      <c r="D548">
        <v>970</v>
      </c>
      <c r="E548" t="s">
        <v>160</v>
      </c>
      <c r="F548" t="s">
        <v>19</v>
      </c>
      <c r="G548">
        <v>143687</v>
      </c>
    </row>
    <row r="549" spans="1:7" x14ac:dyDescent="0.45">
      <c r="A549">
        <v>2024</v>
      </c>
      <c r="B549" t="s">
        <v>7</v>
      </c>
      <c r="C549">
        <v>577</v>
      </c>
      <c r="D549">
        <v>175</v>
      </c>
      <c r="E549" t="s">
        <v>161</v>
      </c>
      <c r="F549" t="s">
        <v>11</v>
      </c>
      <c r="G549">
        <v>294115</v>
      </c>
    </row>
    <row r="550" spans="1:7" x14ac:dyDescent="0.45">
      <c r="A550">
        <v>2021</v>
      </c>
      <c r="B550" t="s">
        <v>7</v>
      </c>
      <c r="C550">
        <v>873</v>
      </c>
      <c r="D550">
        <v>287</v>
      </c>
      <c r="E550" t="s">
        <v>161</v>
      </c>
      <c r="F550" t="s">
        <v>15</v>
      </c>
      <c r="G550">
        <v>861855</v>
      </c>
    </row>
    <row r="551" spans="1:7" x14ac:dyDescent="0.45">
      <c r="A551">
        <v>2023</v>
      </c>
      <c r="B551" t="s">
        <v>27</v>
      </c>
      <c r="C551">
        <v>403</v>
      </c>
      <c r="D551">
        <v>953</v>
      </c>
      <c r="E551" t="s">
        <v>161</v>
      </c>
      <c r="F551" t="s">
        <v>11</v>
      </c>
      <c r="G551">
        <v>253547</v>
      </c>
    </row>
    <row r="552" spans="1:7" x14ac:dyDescent="0.45">
      <c r="A552">
        <v>2022</v>
      </c>
      <c r="B552" t="s">
        <v>14</v>
      </c>
      <c r="C552">
        <v>839</v>
      </c>
      <c r="D552">
        <v>983</v>
      </c>
      <c r="E552" t="s">
        <v>161</v>
      </c>
      <c r="F552" t="s">
        <v>22</v>
      </c>
      <c r="G552">
        <v>234766</v>
      </c>
    </row>
    <row r="553" spans="1:7" x14ac:dyDescent="0.45">
      <c r="A553">
        <v>2021</v>
      </c>
      <c r="B553" t="s">
        <v>10</v>
      </c>
      <c r="C553">
        <v>871</v>
      </c>
      <c r="D553">
        <v>810</v>
      </c>
      <c r="E553" t="s">
        <v>162</v>
      </c>
      <c r="F553" t="s">
        <v>11</v>
      </c>
      <c r="G553">
        <v>388716</v>
      </c>
    </row>
    <row r="554" spans="1:7" x14ac:dyDescent="0.45">
      <c r="A554">
        <v>2024</v>
      </c>
      <c r="B554" t="s">
        <v>27</v>
      </c>
      <c r="C554">
        <v>403</v>
      </c>
      <c r="D554">
        <v>953</v>
      </c>
      <c r="E554" t="s">
        <v>162</v>
      </c>
      <c r="F554" t="s">
        <v>11</v>
      </c>
      <c r="G554">
        <v>837290</v>
      </c>
    </row>
    <row r="555" spans="1:7" x14ac:dyDescent="0.45">
      <c r="A555">
        <v>2023</v>
      </c>
      <c r="B555" t="s">
        <v>27</v>
      </c>
      <c r="C555">
        <v>839</v>
      </c>
      <c r="D555">
        <v>983</v>
      </c>
      <c r="E555" t="s">
        <v>162</v>
      </c>
      <c r="F555" t="s">
        <v>15</v>
      </c>
      <c r="G555">
        <v>721802</v>
      </c>
    </row>
    <row r="556" spans="1:7" x14ac:dyDescent="0.45">
      <c r="A556">
        <v>2022</v>
      </c>
      <c r="B556" t="s">
        <v>14</v>
      </c>
      <c r="C556">
        <v>930</v>
      </c>
      <c r="D556">
        <v>563</v>
      </c>
      <c r="E556" t="s">
        <v>162</v>
      </c>
      <c r="F556" t="s">
        <v>13</v>
      </c>
      <c r="G556">
        <v>472993</v>
      </c>
    </row>
    <row r="557" spans="1:7" x14ac:dyDescent="0.45">
      <c r="A557">
        <v>2021</v>
      </c>
      <c r="B557" t="s">
        <v>25</v>
      </c>
      <c r="C557">
        <v>934</v>
      </c>
      <c r="D557">
        <v>75</v>
      </c>
      <c r="E557" t="s">
        <v>163</v>
      </c>
      <c r="F557" t="s">
        <v>9</v>
      </c>
      <c r="G557">
        <v>151026</v>
      </c>
    </row>
    <row r="558" spans="1:7" x14ac:dyDescent="0.45">
      <c r="A558">
        <v>2022</v>
      </c>
      <c r="B558" t="s">
        <v>20</v>
      </c>
      <c r="C558">
        <v>403</v>
      </c>
      <c r="D558">
        <v>953</v>
      </c>
      <c r="E558" t="s">
        <v>163</v>
      </c>
      <c r="F558" t="s">
        <v>13</v>
      </c>
      <c r="G558">
        <v>472993</v>
      </c>
    </row>
    <row r="559" spans="1:7" x14ac:dyDescent="0.45">
      <c r="A559">
        <v>2023</v>
      </c>
      <c r="B559" t="s">
        <v>27</v>
      </c>
      <c r="C559">
        <v>839</v>
      </c>
      <c r="D559">
        <v>334</v>
      </c>
      <c r="E559" t="s">
        <v>163</v>
      </c>
      <c r="F559" t="s">
        <v>19</v>
      </c>
      <c r="G559">
        <v>1137886</v>
      </c>
    </row>
    <row r="560" spans="1:7" x14ac:dyDescent="0.45">
      <c r="A560">
        <v>2024</v>
      </c>
      <c r="B560" t="s">
        <v>12</v>
      </c>
      <c r="C560">
        <v>839</v>
      </c>
      <c r="D560">
        <v>334</v>
      </c>
      <c r="E560" t="s">
        <v>163</v>
      </c>
      <c r="F560" t="s">
        <v>19</v>
      </c>
      <c r="G560">
        <v>1380748</v>
      </c>
    </row>
    <row r="561" spans="1:7" x14ac:dyDescent="0.45">
      <c r="A561">
        <v>2021</v>
      </c>
      <c r="B561" t="s">
        <v>16</v>
      </c>
      <c r="C561">
        <v>590</v>
      </c>
      <c r="D561">
        <v>268</v>
      </c>
      <c r="E561" t="s">
        <v>164</v>
      </c>
      <c r="F561" t="s">
        <v>11</v>
      </c>
      <c r="G561">
        <v>710112</v>
      </c>
    </row>
    <row r="562" spans="1:7" x14ac:dyDescent="0.45">
      <c r="A562">
        <v>2023</v>
      </c>
      <c r="B562" t="s">
        <v>18</v>
      </c>
      <c r="C562">
        <v>692</v>
      </c>
      <c r="D562">
        <v>300</v>
      </c>
      <c r="E562" t="s">
        <v>164</v>
      </c>
      <c r="F562" t="s">
        <v>13</v>
      </c>
      <c r="G562">
        <v>148080</v>
      </c>
    </row>
    <row r="563" spans="1:7" x14ac:dyDescent="0.45">
      <c r="A563">
        <v>2022</v>
      </c>
      <c r="B563" t="s">
        <v>18</v>
      </c>
      <c r="C563">
        <v>287</v>
      </c>
      <c r="D563">
        <v>744</v>
      </c>
      <c r="E563" t="s">
        <v>164</v>
      </c>
      <c r="F563" t="s">
        <v>23</v>
      </c>
      <c r="G563">
        <v>972447</v>
      </c>
    </row>
    <row r="564" spans="1:7" x14ac:dyDescent="0.45">
      <c r="A564">
        <v>2024</v>
      </c>
      <c r="B564" t="s">
        <v>28</v>
      </c>
      <c r="C564">
        <v>413</v>
      </c>
      <c r="D564">
        <v>930</v>
      </c>
      <c r="E564" t="s">
        <v>164</v>
      </c>
      <c r="F564" t="s">
        <v>15</v>
      </c>
      <c r="G564">
        <v>384175</v>
      </c>
    </row>
    <row r="565" spans="1:7" x14ac:dyDescent="0.45">
      <c r="A565">
        <v>2024</v>
      </c>
      <c r="B565" t="s">
        <v>12</v>
      </c>
      <c r="C565">
        <v>872</v>
      </c>
      <c r="D565">
        <v>249</v>
      </c>
      <c r="E565" t="s">
        <v>164</v>
      </c>
      <c r="F565" t="s">
        <v>22</v>
      </c>
      <c r="G565">
        <v>1218282</v>
      </c>
    </row>
    <row r="566" spans="1:7" x14ac:dyDescent="0.45">
      <c r="A566">
        <v>2024</v>
      </c>
      <c r="B566" t="s">
        <v>14</v>
      </c>
      <c r="C566">
        <v>839</v>
      </c>
      <c r="D566">
        <v>334</v>
      </c>
      <c r="E566" t="s">
        <v>164</v>
      </c>
      <c r="F566" t="s">
        <v>19</v>
      </c>
      <c r="G566">
        <v>1380748</v>
      </c>
    </row>
    <row r="567" spans="1:7" x14ac:dyDescent="0.45">
      <c r="A567">
        <v>2023</v>
      </c>
      <c r="B567" t="s">
        <v>18</v>
      </c>
      <c r="C567">
        <v>795</v>
      </c>
      <c r="D567">
        <v>469</v>
      </c>
      <c r="E567" t="s">
        <v>165</v>
      </c>
      <c r="F567" t="s">
        <v>22</v>
      </c>
      <c r="G567">
        <v>686660</v>
      </c>
    </row>
    <row r="568" spans="1:7" x14ac:dyDescent="0.45">
      <c r="A568">
        <v>2021</v>
      </c>
      <c r="B568" t="s">
        <v>10</v>
      </c>
      <c r="C568">
        <v>515</v>
      </c>
      <c r="D568">
        <v>210</v>
      </c>
      <c r="E568" t="s">
        <v>165</v>
      </c>
      <c r="F568" t="s">
        <v>30</v>
      </c>
      <c r="G568">
        <v>186455</v>
      </c>
    </row>
    <row r="569" spans="1:7" x14ac:dyDescent="0.45">
      <c r="A569">
        <v>2024</v>
      </c>
      <c r="B569" t="s">
        <v>28</v>
      </c>
      <c r="C569">
        <v>968</v>
      </c>
      <c r="D569">
        <v>330</v>
      </c>
      <c r="E569" t="s">
        <v>165</v>
      </c>
      <c r="F569" t="s">
        <v>9</v>
      </c>
      <c r="G569">
        <v>796526</v>
      </c>
    </row>
    <row r="570" spans="1:7" x14ac:dyDescent="0.45">
      <c r="A570">
        <v>2022</v>
      </c>
      <c r="B570" t="s">
        <v>28</v>
      </c>
      <c r="C570">
        <v>577</v>
      </c>
      <c r="D570">
        <v>175</v>
      </c>
      <c r="E570" t="s">
        <v>165</v>
      </c>
      <c r="F570" t="s">
        <v>19</v>
      </c>
      <c r="G570">
        <v>635797</v>
      </c>
    </row>
    <row r="571" spans="1:7" x14ac:dyDescent="0.45">
      <c r="A571">
        <v>2023</v>
      </c>
      <c r="B571" t="s">
        <v>10</v>
      </c>
      <c r="C571">
        <v>692</v>
      </c>
      <c r="D571">
        <v>300</v>
      </c>
      <c r="E571" t="s">
        <v>166</v>
      </c>
      <c r="F571" t="s">
        <v>19</v>
      </c>
      <c r="G571">
        <v>200347</v>
      </c>
    </row>
    <row r="572" spans="1:7" x14ac:dyDescent="0.45">
      <c r="A572">
        <v>2021</v>
      </c>
      <c r="B572" t="s">
        <v>10</v>
      </c>
      <c r="C572">
        <v>871</v>
      </c>
      <c r="D572">
        <v>810</v>
      </c>
      <c r="E572" t="s">
        <v>166</v>
      </c>
      <c r="F572" t="s">
        <v>11</v>
      </c>
      <c r="G572">
        <v>198951</v>
      </c>
    </row>
    <row r="573" spans="1:7" x14ac:dyDescent="0.45">
      <c r="A573">
        <v>2024</v>
      </c>
      <c r="B573" t="s">
        <v>27</v>
      </c>
      <c r="C573">
        <v>872</v>
      </c>
      <c r="D573">
        <v>249</v>
      </c>
      <c r="E573" t="s">
        <v>166</v>
      </c>
      <c r="F573" t="s">
        <v>11</v>
      </c>
      <c r="G573">
        <v>232402</v>
      </c>
    </row>
    <row r="574" spans="1:7" x14ac:dyDescent="0.45">
      <c r="A574">
        <v>2022</v>
      </c>
      <c r="B574" t="s">
        <v>12</v>
      </c>
      <c r="C574">
        <v>287</v>
      </c>
      <c r="D574">
        <v>744</v>
      </c>
      <c r="E574" t="s">
        <v>166</v>
      </c>
      <c r="F574" t="s">
        <v>9</v>
      </c>
      <c r="G574">
        <v>185506</v>
      </c>
    </row>
    <row r="575" spans="1:7" x14ac:dyDescent="0.45">
      <c r="A575">
        <v>2024</v>
      </c>
      <c r="B575" t="s">
        <v>16</v>
      </c>
      <c r="C575">
        <v>312</v>
      </c>
      <c r="D575">
        <v>983</v>
      </c>
      <c r="E575" t="s">
        <v>167</v>
      </c>
      <c r="F575" t="s">
        <v>22</v>
      </c>
      <c r="G575">
        <v>369869</v>
      </c>
    </row>
    <row r="576" spans="1:7" x14ac:dyDescent="0.45">
      <c r="A576">
        <v>2023</v>
      </c>
      <c r="B576" t="s">
        <v>10</v>
      </c>
      <c r="C576">
        <v>692</v>
      </c>
      <c r="D576">
        <v>300</v>
      </c>
      <c r="E576" t="s">
        <v>167</v>
      </c>
      <c r="F576" t="s">
        <v>19</v>
      </c>
      <c r="G576">
        <v>318852</v>
      </c>
    </row>
    <row r="577" spans="1:7" x14ac:dyDescent="0.45">
      <c r="A577">
        <v>2022</v>
      </c>
      <c r="B577" t="s">
        <v>14</v>
      </c>
      <c r="C577">
        <v>784</v>
      </c>
      <c r="D577">
        <v>540</v>
      </c>
      <c r="E577" t="s">
        <v>167</v>
      </c>
      <c r="F577" t="s">
        <v>13</v>
      </c>
      <c r="G577">
        <v>472993</v>
      </c>
    </row>
    <row r="578" spans="1:7" x14ac:dyDescent="0.45">
      <c r="A578">
        <v>2021</v>
      </c>
      <c r="B578" t="s">
        <v>14</v>
      </c>
      <c r="C578">
        <v>249</v>
      </c>
      <c r="D578">
        <v>975</v>
      </c>
      <c r="E578" t="s">
        <v>167</v>
      </c>
      <c r="F578" t="s">
        <v>23</v>
      </c>
      <c r="G578">
        <v>443828</v>
      </c>
    </row>
    <row r="579" spans="1:7" x14ac:dyDescent="0.45">
      <c r="A579">
        <v>2023</v>
      </c>
      <c r="B579" t="s">
        <v>28</v>
      </c>
      <c r="C579">
        <v>784</v>
      </c>
      <c r="D579">
        <v>540</v>
      </c>
      <c r="E579" t="s">
        <v>168</v>
      </c>
      <c r="F579" t="s">
        <v>19</v>
      </c>
      <c r="G579">
        <v>428108</v>
      </c>
    </row>
    <row r="580" spans="1:7" x14ac:dyDescent="0.45">
      <c r="A580">
        <v>2021</v>
      </c>
      <c r="B580" t="s">
        <v>12</v>
      </c>
      <c r="C580">
        <v>268</v>
      </c>
      <c r="D580">
        <v>118</v>
      </c>
      <c r="E580" t="s">
        <v>168</v>
      </c>
      <c r="F580" t="s">
        <v>23</v>
      </c>
      <c r="G580">
        <v>1092711</v>
      </c>
    </row>
    <row r="581" spans="1:7" x14ac:dyDescent="0.45">
      <c r="A581">
        <v>2022</v>
      </c>
      <c r="B581" t="s">
        <v>14</v>
      </c>
      <c r="C581">
        <v>597</v>
      </c>
      <c r="D581">
        <v>287</v>
      </c>
      <c r="E581" t="s">
        <v>168</v>
      </c>
      <c r="F581" t="s">
        <v>23</v>
      </c>
      <c r="G581">
        <v>396397</v>
      </c>
    </row>
    <row r="582" spans="1:7" x14ac:dyDescent="0.45">
      <c r="A582">
        <v>2024</v>
      </c>
      <c r="B582" t="s">
        <v>16</v>
      </c>
      <c r="C582">
        <v>839</v>
      </c>
      <c r="D582">
        <v>334</v>
      </c>
      <c r="E582" t="s">
        <v>169</v>
      </c>
      <c r="F582" t="s">
        <v>22</v>
      </c>
      <c r="G582">
        <v>1390503</v>
      </c>
    </row>
    <row r="583" spans="1:7" x14ac:dyDescent="0.45">
      <c r="A583">
        <v>2023</v>
      </c>
      <c r="B583" t="s">
        <v>25</v>
      </c>
      <c r="C583">
        <v>413</v>
      </c>
      <c r="D583">
        <v>930</v>
      </c>
      <c r="E583" t="s">
        <v>169</v>
      </c>
      <c r="F583" t="s">
        <v>15</v>
      </c>
      <c r="G583">
        <v>1198709</v>
      </c>
    </row>
    <row r="584" spans="1:7" x14ac:dyDescent="0.45">
      <c r="A584">
        <v>2021</v>
      </c>
      <c r="B584" t="s">
        <v>10</v>
      </c>
      <c r="C584">
        <v>734</v>
      </c>
      <c r="D584">
        <v>568</v>
      </c>
      <c r="E584" t="s">
        <v>169</v>
      </c>
      <c r="F584" t="s">
        <v>30</v>
      </c>
      <c r="G584">
        <v>186455</v>
      </c>
    </row>
    <row r="585" spans="1:7" x14ac:dyDescent="0.45">
      <c r="A585">
        <v>2022</v>
      </c>
      <c r="B585" t="s">
        <v>27</v>
      </c>
      <c r="C585">
        <v>312</v>
      </c>
      <c r="D585">
        <v>983</v>
      </c>
      <c r="E585" t="s">
        <v>169</v>
      </c>
      <c r="F585" t="s">
        <v>11</v>
      </c>
      <c r="G585">
        <v>1109916</v>
      </c>
    </row>
    <row r="586" spans="1:7" x14ac:dyDescent="0.45">
      <c r="A586">
        <v>2024</v>
      </c>
      <c r="B586" t="s">
        <v>28</v>
      </c>
      <c r="C586">
        <v>168</v>
      </c>
      <c r="D586">
        <v>97</v>
      </c>
      <c r="E586" t="s">
        <v>169</v>
      </c>
      <c r="F586" t="s">
        <v>34</v>
      </c>
      <c r="G586">
        <v>1195874</v>
      </c>
    </row>
    <row r="587" spans="1:7" x14ac:dyDescent="0.45">
      <c r="A587">
        <v>2024</v>
      </c>
      <c r="B587" t="s">
        <v>7</v>
      </c>
      <c r="C587">
        <v>839</v>
      </c>
      <c r="D587">
        <v>983</v>
      </c>
      <c r="E587" t="s">
        <v>170</v>
      </c>
      <c r="F587" t="s">
        <v>15</v>
      </c>
      <c r="G587">
        <v>733256</v>
      </c>
    </row>
    <row r="588" spans="1:7" x14ac:dyDescent="0.45">
      <c r="A588">
        <v>2021</v>
      </c>
      <c r="B588" t="s">
        <v>20</v>
      </c>
      <c r="C588">
        <v>573</v>
      </c>
      <c r="D588">
        <v>784</v>
      </c>
      <c r="E588" t="s">
        <v>170</v>
      </c>
      <c r="F588" t="s">
        <v>19</v>
      </c>
      <c r="G588">
        <v>707157</v>
      </c>
    </row>
    <row r="589" spans="1:7" x14ac:dyDescent="0.45">
      <c r="A589">
        <v>2022</v>
      </c>
      <c r="B589" t="s">
        <v>10</v>
      </c>
      <c r="C589">
        <v>692</v>
      </c>
      <c r="D589">
        <v>300</v>
      </c>
      <c r="E589" t="s">
        <v>170</v>
      </c>
      <c r="F589" t="s">
        <v>30</v>
      </c>
      <c r="G589">
        <v>987995</v>
      </c>
    </row>
    <row r="590" spans="1:7" x14ac:dyDescent="0.45">
      <c r="A590">
        <v>2024</v>
      </c>
      <c r="B590" t="s">
        <v>28</v>
      </c>
      <c r="C590">
        <v>795</v>
      </c>
      <c r="D590">
        <v>469</v>
      </c>
      <c r="E590" t="s">
        <v>170</v>
      </c>
      <c r="F590" t="s">
        <v>22</v>
      </c>
      <c r="G590">
        <v>1021491</v>
      </c>
    </row>
    <row r="591" spans="1:7" x14ac:dyDescent="0.45">
      <c r="A591">
        <v>2023</v>
      </c>
      <c r="B591" t="s">
        <v>28</v>
      </c>
      <c r="C591">
        <v>413</v>
      </c>
      <c r="D591">
        <v>930</v>
      </c>
      <c r="E591" t="s">
        <v>170</v>
      </c>
      <c r="F591" t="s">
        <v>9</v>
      </c>
      <c r="G591">
        <v>1067035</v>
      </c>
    </row>
    <row r="592" spans="1:7" x14ac:dyDescent="0.45">
      <c r="A592">
        <v>2023</v>
      </c>
      <c r="B592" t="s">
        <v>7</v>
      </c>
      <c r="C592">
        <v>930</v>
      </c>
      <c r="D592">
        <v>563</v>
      </c>
      <c r="E592" t="s">
        <v>171</v>
      </c>
      <c r="F592" t="s">
        <v>9</v>
      </c>
      <c r="G592">
        <v>723765</v>
      </c>
    </row>
    <row r="593" spans="1:7" x14ac:dyDescent="0.45">
      <c r="A593">
        <v>2021</v>
      </c>
      <c r="B593" t="s">
        <v>27</v>
      </c>
      <c r="C593">
        <v>137</v>
      </c>
      <c r="D593">
        <v>784</v>
      </c>
      <c r="E593" t="s">
        <v>171</v>
      </c>
      <c r="F593" t="s">
        <v>15</v>
      </c>
      <c r="G593">
        <v>705535</v>
      </c>
    </row>
    <row r="594" spans="1:7" x14ac:dyDescent="0.45">
      <c r="A594">
        <v>2024</v>
      </c>
      <c r="B594" t="s">
        <v>12</v>
      </c>
      <c r="C594">
        <v>784</v>
      </c>
      <c r="D594">
        <v>540</v>
      </c>
      <c r="E594" t="s">
        <v>171</v>
      </c>
      <c r="F594" t="s">
        <v>13</v>
      </c>
      <c r="G594">
        <v>839567</v>
      </c>
    </row>
    <row r="595" spans="1:7" x14ac:dyDescent="0.45">
      <c r="A595">
        <v>2022</v>
      </c>
      <c r="B595" t="s">
        <v>14</v>
      </c>
      <c r="C595">
        <v>312</v>
      </c>
      <c r="D595">
        <v>983</v>
      </c>
      <c r="E595" t="s">
        <v>171</v>
      </c>
      <c r="F595" t="s">
        <v>15</v>
      </c>
      <c r="G595">
        <v>670153</v>
      </c>
    </row>
    <row r="596" spans="1:7" x14ac:dyDescent="0.45">
      <c r="A596">
        <v>2024</v>
      </c>
      <c r="B596" t="s">
        <v>16</v>
      </c>
      <c r="C596">
        <v>413</v>
      </c>
      <c r="D596">
        <v>930</v>
      </c>
      <c r="E596" t="s">
        <v>172</v>
      </c>
      <c r="F596" t="s">
        <v>15</v>
      </c>
      <c r="G596">
        <v>1037624</v>
      </c>
    </row>
    <row r="597" spans="1:7" x14ac:dyDescent="0.45">
      <c r="A597">
        <v>2022</v>
      </c>
      <c r="B597" t="s">
        <v>25</v>
      </c>
      <c r="C597">
        <v>210</v>
      </c>
      <c r="D597">
        <v>177</v>
      </c>
      <c r="E597" t="s">
        <v>172</v>
      </c>
      <c r="F597" t="s">
        <v>34</v>
      </c>
      <c r="G597">
        <v>828244</v>
      </c>
    </row>
    <row r="598" spans="1:7" x14ac:dyDescent="0.45">
      <c r="A598">
        <v>2021</v>
      </c>
      <c r="B598" t="s">
        <v>18</v>
      </c>
      <c r="C598">
        <v>389</v>
      </c>
      <c r="D598">
        <v>930</v>
      </c>
      <c r="E598" t="s">
        <v>172</v>
      </c>
      <c r="F598" t="s">
        <v>9</v>
      </c>
      <c r="G598">
        <v>151026</v>
      </c>
    </row>
    <row r="599" spans="1:7" x14ac:dyDescent="0.45">
      <c r="A599">
        <v>2023</v>
      </c>
      <c r="B599" t="s">
        <v>10</v>
      </c>
      <c r="C599">
        <v>692</v>
      </c>
      <c r="D599">
        <v>300</v>
      </c>
      <c r="E599" t="s">
        <v>172</v>
      </c>
      <c r="F599" t="s">
        <v>19</v>
      </c>
      <c r="G599">
        <v>894504</v>
      </c>
    </row>
    <row r="600" spans="1:7" x14ac:dyDescent="0.45">
      <c r="A600">
        <v>2023</v>
      </c>
      <c r="B600" t="s">
        <v>18</v>
      </c>
      <c r="C600">
        <v>930</v>
      </c>
      <c r="D600">
        <v>563</v>
      </c>
      <c r="E600" t="s">
        <v>173</v>
      </c>
      <c r="F600" t="s">
        <v>13</v>
      </c>
      <c r="G600">
        <v>148080</v>
      </c>
    </row>
    <row r="601" spans="1:7" x14ac:dyDescent="0.45">
      <c r="A601">
        <v>2024</v>
      </c>
      <c r="B601" t="s">
        <v>7</v>
      </c>
      <c r="C601">
        <v>784</v>
      </c>
      <c r="D601">
        <v>540</v>
      </c>
      <c r="E601" t="s">
        <v>173</v>
      </c>
      <c r="F601" t="s">
        <v>22</v>
      </c>
      <c r="G601">
        <v>256566</v>
      </c>
    </row>
    <row r="602" spans="1:7" x14ac:dyDescent="0.45">
      <c r="A602">
        <v>2022</v>
      </c>
      <c r="B602" t="s">
        <v>20</v>
      </c>
      <c r="C602">
        <v>312</v>
      </c>
      <c r="D602">
        <v>983</v>
      </c>
      <c r="E602" t="s">
        <v>173</v>
      </c>
      <c r="F602" t="s">
        <v>22</v>
      </c>
      <c r="G602">
        <v>204794</v>
      </c>
    </row>
    <row r="603" spans="1:7" x14ac:dyDescent="0.45">
      <c r="A603">
        <v>2021</v>
      </c>
      <c r="B603" t="s">
        <v>10</v>
      </c>
      <c r="C603">
        <v>962</v>
      </c>
      <c r="D603">
        <v>28</v>
      </c>
      <c r="E603" t="s">
        <v>173</v>
      </c>
      <c r="F603" t="s">
        <v>15</v>
      </c>
      <c r="G603">
        <v>250257</v>
      </c>
    </row>
    <row r="604" spans="1:7" x14ac:dyDescent="0.45">
      <c r="A604">
        <v>2022</v>
      </c>
      <c r="B604" t="s">
        <v>16</v>
      </c>
      <c r="C604">
        <v>795</v>
      </c>
      <c r="D604">
        <v>469</v>
      </c>
      <c r="E604" t="s">
        <v>174</v>
      </c>
      <c r="F604" t="s">
        <v>22</v>
      </c>
      <c r="G604">
        <v>697089</v>
      </c>
    </row>
    <row r="605" spans="1:7" x14ac:dyDescent="0.45">
      <c r="A605">
        <v>2023</v>
      </c>
      <c r="B605" t="s">
        <v>25</v>
      </c>
      <c r="C605">
        <v>968</v>
      </c>
      <c r="D605">
        <v>330</v>
      </c>
      <c r="E605" t="s">
        <v>174</v>
      </c>
      <c r="F605" t="s">
        <v>11</v>
      </c>
      <c r="G605">
        <v>752856</v>
      </c>
    </row>
    <row r="606" spans="1:7" x14ac:dyDescent="0.45">
      <c r="A606">
        <v>2024</v>
      </c>
      <c r="B606" t="s">
        <v>14</v>
      </c>
      <c r="C606">
        <v>839</v>
      </c>
      <c r="D606">
        <v>334</v>
      </c>
      <c r="E606" t="s">
        <v>174</v>
      </c>
      <c r="F606" t="s">
        <v>23</v>
      </c>
      <c r="G606">
        <v>873313</v>
      </c>
    </row>
    <row r="607" spans="1:7" x14ac:dyDescent="0.45">
      <c r="A607">
        <v>2021</v>
      </c>
      <c r="B607" t="s">
        <v>14</v>
      </c>
      <c r="C607">
        <v>249</v>
      </c>
      <c r="D607">
        <v>975</v>
      </c>
      <c r="E607" t="s">
        <v>174</v>
      </c>
      <c r="F607" t="s">
        <v>23</v>
      </c>
      <c r="G607">
        <v>114441</v>
      </c>
    </row>
    <row r="608" spans="1:7" x14ac:dyDescent="0.45">
      <c r="A608">
        <v>2021</v>
      </c>
      <c r="B608" t="s">
        <v>25</v>
      </c>
      <c r="C608">
        <v>851</v>
      </c>
      <c r="D608">
        <v>162</v>
      </c>
      <c r="E608" t="s">
        <v>175</v>
      </c>
      <c r="F608" t="s">
        <v>11</v>
      </c>
      <c r="G608">
        <v>966179</v>
      </c>
    </row>
    <row r="609" spans="1:7" x14ac:dyDescent="0.45">
      <c r="A609">
        <v>2023</v>
      </c>
      <c r="B609" t="s">
        <v>27</v>
      </c>
      <c r="C609">
        <v>749</v>
      </c>
      <c r="D609">
        <v>648</v>
      </c>
      <c r="E609" t="s">
        <v>175</v>
      </c>
      <c r="F609" t="s">
        <v>22</v>
      </c>
      <c r="G609">
        <v>225783</v>
      </c>
    </row>
    <row r="610" spans="1:7" x14ac:dyDescent="0.45">
      <c r="A610">
        <v>2022</v>
      </c>
      <c r="B610" t="s">
        <v>12</v>
      </c>
      <c r="C610">
        <v>784</v>
      </c>
      <c r="D610">
        <v>540</v>
      </c>
      <c r="E610" t="s">
        <v>175</v>
      </c>
      <c r="F610" t="s">
        <v>22</v>
      </c>
      <c r="G610">
        <v>209059</v>
      </c>
    </row>
    <row r="611" spans="1:7" x14ac:dyDescent="0.45">
      <c r="A611">
        <v>2023</v>
      </c>
      <c r="B611" t="s">
        <v>25</v>
      </c>
      <c r="C611">
        <v>413</v>
      </c>
      <c r="D611">
        <v>930</v>
      </c>
      <c r="E611" t="s">
        <v>176</v>
      </c>
      <c r="F611" t="s">
        <v>11</v>
      </c>
      <c r="G611">
        <v>711172</v>
      </c>
    </row>
    <row r="612" spans="1:7" x14ac:dyDescent="0.45">
      <c r="A612">
        <v>2022</v>
      </c>
      <c r="B612" t="s">
        <v>25</v>
      </c>
      <c r="C612">
        <v>968</v>
      </c>
      <c r="D612">
        <v>330</v>
      </c>
      <c r="E612" t="s">
        <v>176</v>
      </c>
      <c r="F612" t="s">
        <v>11</v>
      </c>
      <c r="G612">
        <v>658492</v>
      </c>
    </row>
    <row r="613" spans="1:7" x14ac:dyDescent="0.45">
      <c r="A613">
        <v>2024</v>
      </c>
      <c r="B613" t="s">
        <v>27</v>
      </c>
      <c r="C613">
        <v>795</v>
      </c>
      <c r="D613">
        <v>469</v>
      </c>
      <c r="E613" t="s">
        <v>176</v>
      </c>
      <c r="F613" t="s">
        <v>15</v>
      </c>
      <c r="G613">
        <v>824959</v>
      </c>
    </row>
    <row r="614" spans="1:7" x14ac:dyDescent="0.45">
      <c r="A614">
        <v>2021</v>
      </c>
      <c r="B614" t="s">
        <v>12</v>
      </c>
      <c r="C614">
        <v>1000</v>
      </c>
      <c r="D614">
        <v>597</v>
      </c>
      <c r="E614" t="s">
        <v>176</v>
      </c>
      <c r="F614" t="s">
        <v>9</v>
      </c>
      <c r="G614">
        <v>151026</v>
      </c>
    </row>
    <row r="615" spans="1:7" x14ac:dyDescent="0.45">
      <c r="A615">
        <v>2023</v>
      </c>
      <c r="B615" t="s">
        <v>18</v>
      </c>
      <c r="C615">
        <v>210</v>
      </c>
      <c r="D615">
        <v>177</v>
      </c>
      <c r="E615" t="s">
        <v>177</v>
      </c>
      <c r="F615" t="s">
        <v>13</v>
      </c>
      <c r="G615">
        <v>148080</v>
      </c>
    </row>
    <row r="616" spans="1:7" x14ac:dyDescent="0.45">
      <c r="A616">
        <v>2024</v>
      </c>
      <c r="B616" t="s">
        <v>20</v>
      </c>
      <c r="C616">
        <v>93</v>
      </c>
      <c r="D616">
        <v>852</v>
      </c>
      <c r="E616" t="s">
        <v>177</v>
      </c>
      <c r="F616" t="s">
        <v>11</v>
      </c>
      <c r="G616">
        <v>263263</v>
      </c>
    </row>
    <row r="617" spans="1:7" x14ac:dyDescent="0.45">
      <c r="A617">
        <v>2021</v>
      </c>
      <c r="B617" t="s">
        <v>12</v>
      </c>
      <c r="C617">
        <v>970</v>
      </c>
      <c r="D617">
        <v>616</v>
      </c>
      <c r="E617" t="s">
        <v>177</v>
      </c>
      <c r="F617" t="s">
        <v>9</v>
      </c>
      <c r="G617">
        <v>482446</v>
      </c>
    </row>
    <row r="618" spans="1:7" x14ac:dyDescent="0.45">
      <c r="A618">
        <v>2022</v>
      </c>
      <c r="B618" t="s">
        <v>14</v>
      </c>
      <c r="C618">
        <v>597</v>
      </c>
      <c r="D618">
        <v>287</v>
      </c>
      <c r="E618" t="s">
        <v>177</v>
      </c>
      <c r="F618" t="s">
        <v>30</v>
      </c>
      <c r="G618">
        <v>210140</v>
      </c>
    </row>
    <row r="619" spans="1:7" x14ac:dyDescent="0.45">
      <c r="A619">
        <v>2021</v>
      </c>
      <c r="B619" t="s">
        <v>25</v>
      </c>
      <c r="C619">
        <v>616</v>
      </c>
      <c r="D619">
        <v>398</v>
      </c>
      <c r="E619" t="s">
        <v>178</v>
      </c>
      <c r="F619" t="s">
        <v>11</v>
      </c>
      <c r="G619">
        <v>1031250</v>
      </c>
    </row>
    <row r="620" spans="1:7" x14ac:dyDescent="0.45">
      <c r="A620">
        <v>2022</v>
      </c>
      <c r="B620" t="s">
        <v>28</v>
      </c>
      <c r="C620">
        <v>413</v>
      </c>
      <c r="D620">
        <v>930</v>
      </c>
      <c r="E620" t="s">
        <v>178</v>
      </c>
      <c r="F620" t="s">
        <v>9</v>
      </c>
      <c r="G620">
        <v>694077</v>
      </c>
    </row>
    <row r="621" spans="1:7" x14ac:dyDescent="0.45">
      <c r="A621">
        <v>2023</v>
      </c>
      <c r="B621" t="s">
        <v>12</v>
      </c>
      <c r="C621">
        <v>795</v>
      </c>
      <c r="D621">
        <v>469</v>
      </c>
      <c r="E621" t="s">
        <v>178</v>
      </c>
      <c r="F621" t="s">
        <v>22</v>
      </c>
      <c r="G621">
        <v>749603</v>
      </c>
    </row>
    <row r="622" spans="1:7" x14ac:dyDescent="0.45">
      <c r="A622">
        <v>2022</v>
      </c>
      <c r="B622" t="s">
        <v>25</v>
      </c>
      <c r="C622">
        <v>784</v>
      </c>
      <c r="D622">
        <v>540</v>
      </c>
      <c r="E622" t="s">
        <v>179</v>
      </c>
      <c r="F622" t="s">
        <v>30</v>
      </c>
      <c r="G622">
        <v>815366</v>
      </c>
    </row>
    <row r="623" spans="1:7" x14ac:dyDescent="0.45">
      <c r="A623">
        <v>2021</v>
      </c>
      <c r="B623" t="s">
        <v>18</v>
      </c>
      <c r="C623">
        <v>28</v>
      </c>
      <c r="D623">
        <v>287</v>
      </c>
      <c r="E623" t="s">
        <v>179</v>
      </c>
      <c r="F623" t="s">
        <v>9</v>
      </c>
      <c r="G623">
        <v>151026</v>
      </c>
    </row>
    <row r="624" spans="1:7" x14ac:dyDescent="0.45">
      <c r="A624">
        <v>2023</v>
      </c>
      <c r="B624" t="s">
        <v>12</v>
      </c>
      <c r="C624">
        <v>577</v>
      </c>
      <c r="D624">
        <v>175</v>
      </c>
      <c r="E624" t="s">
        <v>179</v>
      </c>
      <c r="F624" t="s">
        <v>19</v>
      </c>
      <c r="G624">
        <v>880596</v>
      </c>
    </row>
    <row r="625" spans="1:7" x14ac:dyDescent="0.45">
      <c r="A625">
        <v>2023</v>
      </c>
      <c r="B625" t="s">
        <v>25</v>
      </c>
      <c r="C625">
        <v>872</v>
      </c>
      <c r="D625">
        <v>249</v>
      </c>
      <c r="E625" t="s">
        <v>180</v>
      </c>
      <c r="F625" t="s">
        <v>11</v>
      </c>
      <c r="G625">
        <v>566837</v>
      </c>
    </row>
    <row r="626" spans="1:7" x14ac:dyDescent="0.45">
      <c r="A626">
        <v>2024</v>
      </c>
      <c r="B626" t="s">
        <v>7</v>
      </c>
      <c r="C626">
        <v>568</v>
      </c>
      <c r="D626">
        <v>505</v>
      </c>
      <c r="E626" t="s">
        <v>180</v>
      </c>
      <c r="F626" t="s">
        <v>22</v>
      </c>
      <c r="G626">
        <v>657531</v>
      </c>
    </row>
    <row r="627" spans="1:7" x14ac:dyDescent="0.45">
      <c r="A627">
        <v>2022</v>
      </c>
      <c r="B627" t="s">
        <v>10</v>
      </c>
      <c r="C627">
        <v>692</v>
      </c>
      <c r="D627">
        <v>300</v>
      </c>
      <c r="E627" t="s">
        <v>180</v>
      </c>
      <c r="F627" t="s">
        <v>19</v>
      </c>
      <c r="G627">
        <v>524849</v>
      </c>
    </row>
    <row r="628" spans="1:7" x14ac:dyDescent="0.45">
      <c r="A628">
        <v>2021</v>
      </c>
      <c r="B628" t="s">
        <v>12</v>
      </c>
      <c r="C628">
        <v>970</v>
      </c>
      <c r="D628">
        <v>616</v>
      </c>
      <c r="E628" t="s">
        <v>180</v>
      </c>
      <c r="F628" t="s">
        <v>9</v>
      </c>
      <c r="G628">
        <v>151026</v>
      </c>
    </row>
    <row r="629" spans="1:7" x14ac:dyDescent="0.45">
      <c r="A629">
        <v>2024</v>
      </c>
      <c r="B629" t="s">
        <v>25</v>
      </c>
      <c r="C629">
        <v>839</v>
      </c>
      <c r="D629">
        <v>983</v>
      </c>
      <c r="E629" t="s">
        <v>181</v>
      </c>
      <c r="F629" t="s">
        <v>15</v>
      </c>
      <c r="G629">
        <v>762994</v>
      </c>
    </row>
    <row r="630" spans="1:7" x14ac:dyDescent="0.45">
      <c r="A630">
        <v>2023</v>
      </c>
      <c r="B630" t="s">
        <v>25</v>
      </c>
      <c r="C630">
        <v>413</v>
      </c>
      <c r="D630">
        <v>930</v>
      </c>
      <c r="E630" t="s">
        <v>181</v>
      </c>
      <c r="F630" t="s">
        <v>15</v>
      </c>
      <c r="G630">
        <v>1010517</v>
      </c>
    </row>
    <row r="631" spans="1:7" x14ac:dyDescent="0.45">
      <c r="A631">
        <v>2021</v>
      </c>
      <c r="B631" t="s">
        <v>20</v>
      </c>
      <c r="C631">
        <v>911</v>
      </c>
      <c r="D631">
        <v>105</v>
      </c>
      <c r="E631" t="s">
        <v>181</v>
      </c>
      <c r="F631" t="s">
        <v>19</v>
      </c>
      <c r="G631">
        <v>979711</v>
      </c>
    </row>
    <row r="632" spans="1:7" x14ac:dyDescent="0.45">
      <c r="A632">
        <v>2022</v>
      </c>
      <c r="B632" t="s">
        <v>28</v>
      </c>
      <c r="C632">
        <v>93</v>
      </c>
      <c r="D632">
        <v>852</v>
      </c>
      <c r="E632" t="s">
        <v>181</v>
      </c>
      <c r="F632" t="s">
        <v>19</v>
      </c>
      <c r="G632">
        <v>935664</v>
      </c>
    </row>
    <row r="633" spans="1:7" x14ac:dyDescent="0.45">
      <c r="A633">
        <v>2024</v>
      </c>
      <c r="B633" t="s">
        <v>14</v>
      </c>
      <c r="C633">
        <v>784</v>
      </c>
      <c r="D633">
        <v>540</v>
      </c>
      <c r="E633" t="s">
        <v>181</v>
      </c>
      <c r="F633" t="s">
        <v>19</v>
      </c>
      <c r="G633">
        <v>1172200</v>
      </c>
    </row>
    <row r="634" spans="1:7" x14ac:dyDescent="0.45">
      <c r="A634">
        <v>2022</v>
      </c>
      <c r="B634" t="s">
        <v>25</v>
      </c>
      <c r="C634">
        <v>413</v>
      </c>
      <c r="D634">
        <v>930</v>
      </c>
      <c r="E634" t="s">
        <v>182</v>
      </c>
      <c r="F634" t="s">
        <v>30</v>
      </c>
      <c r="G634">
        <v>905044</v>
      </c>
    </row>
    <row r="635" spans="1:7" x14ac:dyDescent="0.45">
      <c r="A635">
        <v>2021</v>
      </c>
      <c r="B635" t="s">
        <v>25</v>
      </c>
      <c r="C635">
        <v>601</v>
      </c>
      <c r="D635">
        <v>413</v>
      </c>
      <c r="E635" t="s">
        <v>182</v>
      </c>
      <c r="F635" t="s">
        <v>19</v>
      </c>
      <c r="G635">
        <v>244617</v>
      </c>
    </row>
    <row r="636" spans="1:7" x14ac:dyDescent="0.45">
      <c r="A636">
        <v>2023</v>
      </c>
      <c r="B636" t="s">
        <v>12</v>
      </c>
      <c r="C636">
        <v>968</v>
      </c>
      <c r="D636">
        <v>330</v>
      </c>
      <c r="E636" t="s">
        <v>182</v>
      </c>
      <c r="F636" t="s">
        <v>13</v>
      </c>
      <c r="G636">
        <v>148080</v>
      </c>
    </row>
    <row r="637" spans="1:7" x14ac:dyDescent="0.45">
      <c r="A637">
        <v>2022</v>
      </c>
      <c r="B637" t="s">
        <v>7</v>
      </c>
      <c r="C637">
        <v>795</v>
      </c>
      <c r="D637">
        <v>469</v>
      </c>
      <c r="E637" t="s">
        <v>183</v>
      </c>
      <c r="F637" t="s">
        <v>23</v>
      </c>
      <c r="G637">
        <v>1027542</v>
      </c>
    </row>
    <row r="638" spans="1:7" x14ac:dyDescent="0.45">
      <c r="A638">
        <v>2023</v>
      </c>
      <c r="B638" t="s">
        <v>20</v>
      </c>
      <c r="C638">
        <v>312</v>
      </c>
      <c r="D638">
        <v>983</v>
      </c>
      <c r="E638" t="s">
        <v>183</v>
      </c>
      <c r="F638" t="s">
        <v>22</v>
      </c>
      <c r="G638">
        <v>1109746</v>
      </c>
    </row>
    <row r="639" spans="1:7" x14ac:dyDescent="0.45">
      <c r="A639">
        <v>2024</v>
      </c>
      <c r="B639" t="s">
        <v>10</v>
      </c>
      <c r="C639">
        <v>210</v>
      </c>
      <c r="D639">
        <v>177</v>
      </c>
      <c r="E639" t="s">
        <v>183</v>
      </c>
      <c r="F639" t="s">
        <v>34</v>
      </c>
      <c r="G639">
        <v>1380748</v>
      </c>
    </row>
    <row r="640" spans="1:7" x14ac:dyDescent="0.45">
      <c r="A640">
        <v>2024</v>
      </c>
      <c r="B640" t="s">
        <v>28</v>
      </c>
      <c r="C640">
        <v>287</v>
      </c>
      <c r="D640">
        <v>744</v>
      </c>
      <c r="E640" t="s">
        <v>183</v>
      </c>
      <c r="F640" t="s">
        <v>23</v>
      </c>
      <c r="G640">
        <v>261909</v>
      </c>
    </row>
    <row r="641" spans="1:7" x14ac:dyDescent="0.45">
      <c r="A641">
        <v>2024</v>
      </c>
      <c r="B641" t="s">
        <v>14</v>
      </c>
      <c r="C641">
        <v>403</v>
      </c>
      <c r="D641">
        <v>953</v>
      </c>
      <c r="E641" t="s">
        <v>183</v>
      </c>
      <c r="F641" t="s">
        <v>13</v>
      </c>
      <c r="G641">
        <v>1287305</v>
      </c>
    </row>
    <row r="642" spans="1:7" x14ac:dyDescent="0.45">
      <c r="A642">
        <v>2021</v>
      </c>
      <c r="B642" t="s">
        <v>14</v>
      </c>
      <c r="C642">
        <v>249</v>
      </c>
      <c r="D642">
        <v>975</v>
      </c>
      <c r="E642" t="s">
        <v>183</v>
      </c>
      <c r="F642" t="s">
        <v>23</v>
      </c>
      <c r="G642">
        <v>917449</v>
      </c>
    </row>
    <row r="643" spans="1:7" x14ac:dyDescent="0.45">
      <c r="A643">
        <v>2022</v>
      </c>
      <c r="B643" t="s">
        <v>16</v>
      </c>
      <c r="C643">
        <v>749</v>
      </c>
      <c r="D643">
        <v>648</v>
      </c>
      <c r="E643" t="s">
        <v>184</v>
      </c>
      <c r="F643" t="s">
        <v>30</v>
      </c>
      <c r="G643">
        <v>238955</v>
      </c>
    </row>
    <row r="644" spans="1:7" x14ac:dyDescent="0.45">
      <c r="A644">
        <v>2024</v>
      </c>
      <c r="B644" t="s">
        <v>7</v>
      </c>
      <c r="C644">
        <v>692</v>
      </c>
      <c r="D644">
        <v>300</v>
      </c>
      <c r="E644" t="s">
        <v>184</v>
      </c>
      <c r="F644" t="s">
        <v>34</v>
      </c>
      <c r="G644">
        <v>299363</v>
      </c>
    </row>
    <row r="645" spans="1:7" x14ac:dyDescent="0.45">
      <c r="A645">
        <v>2021</v>
      </c>
      <c r="B645" t="s">
        <v>7</v>
      </c>
      <c r="C645">
        <v>591</v>
      </c>
      <c r="D645">
        <v>810</v>
      </c>
      <c r="E645" t="s">
        <v>184</v>
      </c>
      <c r="F645" t="s">
        <v>23</v>
      </c>
      <c r="G645">
        <v>213353</v>
      </c>
    </row>
    <row r="646" spans="1:7" x14ac:dyDescent="0.45">
      <c r="A646">
        <v>2023</v>
      </c>
      <c r="B646" t="s">
        <v>27</v>
      </c>
      <c r="C646">
        <v>287</v>
      </c>
      <c r="D646">
        <v>744</v>
      </c>
      <c r="E646" t="s">
        <v>184</v>
      </c>
      <c r="F646" t="s">
        <v>19</v>
      </c>
      <c r="G646">
        <v>258071</v>
      </c>
    </row>
    <row r="647" spans="1:7" x14ac:dyDescent="0.45">
      <c r="A647">
        <v>2021</v>
      </c>
      <c r="B647" t="s">
        <v>18</v>
      </c>
      <c r="C647">
        <v>28</v>
      </c>
      <c r="D647">
        <v>287</v>
      </c>
      <c r="E647" t="s">
        <v>185</v>
      </c>
      <c r="F647" t="s">
        <v>9</v>
      </c>
      <c r="G647">
        <v>151026</v>
      </c>
    </row>
    <row r="648" spans="1:7" x14ac:dyDescent="0.45">
      <c r="A648">
        <v>2023</v>
      </c>
      <c r="B648" t="s">
        <v>20</v>
      </c>
      <c r="C648">
        <v>839</v>
      </c>
      <c r="D648">
        <v>983</v>
      </c>
      <c r="E648" t="s">
        <v>185</v>
      </c>
      <c r="F648" t="s">
        <v>15</v>
      </c>
      <c r="G648">
        <v>554812</v>
      </c>
    </row>
    <row r="649" spans="1:7" x14ac:dyDescent="0.45">
      <c r="A649">
        <v>2024</v>
      </c>
      <c r="B649" t="s">
        <v>27</v>
      </c>
      <c r="C649">
        <v>403</v>
      </c>
      <c r="D649">
        <v>953</v>
      </c>
      <c r="E649" t="s">
        <v>185</v>
      </c>
      <c r="F649" t="s">
        <v>13</v>
      </c>
      <c r="G649">
        <v>643582</v>
      </c>
    </row>
    <row r="650" spans="1:7" x14ac:dyDescent="0.45">
      <c r="A650">
        <v>2022</v>
      </c>
      <c r="B650" t="s">
        <v>14</v>
      </c>
      <c r="C650">
        <v>930</v>
      </c>
      <c r="D650">
        <v>563</v>
      </c>
      <c r="E650" t="s">
        <v>185</v>
      </c>
      <c r="F650" t="s">
        <v>19</v>
      </c>
      <c r="G650">
        <v>513714</v>
      </c>
    </row>
    <row r="651" spans="1:7" x14ac:dyDescent="0.45">
      <c r="A651">
        <v>2023</v>
      </c>
      <c r="B651" t="s">
        <v>16</v>
      </c>
      <c r="C651">
        <v>568</v>
      </c>
      <c r="D651">
        <v>505</v>
      </c>
      <c r="E651" t="s">
        <v>186</v>
      </c>
      <c r="F651" t="s">
        <v>30</v>
      </c>
      <c r="G651">
        <v>518578</v>
      </c>
    </row>
    <row r="652" spans="1:7" x14ac:dyDescent="0.45">
      <c r="A652">
        <v>2022</v>
      </c>
      <c r="B652" t="s">
        <v>10</v>
      </c>
      <c r="C652">
        <v>872</v>
      </c>
      <c r="D652">
        <v>249</v>
      </c>
      <c r="E652" t="s">
        <v>186</v>
      </c>
      <c r="F652" t="s">
        <v>15</v>
      </c>
      <c r="G652">
        <v>480165</v>
      </c>
    </row>
    <row r="653" spans="1:7" x14ac:dyDescent="0.45">
      <c r="A653">
        <v>2021</v>
      </c>
      <c r="B653" t="s">
        <v>28</v>
      </c>
      <c r="C653">
        <v>499</v>
      </c>
      <c r="D653">
        <v>568</v>
      </c>
      <c r="E653" t="s">
        <v>186</v>
      </c>
      <c r="F653" t="s">
        <v>34</v>
      </c>
      <c r="G653">
        <v>428719</v>
      </c>
    </row>
    <row r="654" spans="1:7" x14ac:dyDescent="0.45">
      <c r="A654">
        <v>2024</v>
      </c>
      <c r="B654" t="s">
        <v>14</v>
      </c>
      <c r="C654">
        <v>872</v>
      </c>
      <c r="D654">
        <v>249</v>
      </c>
      <c r="E654" t="s">
        <v>186</v>
      </c>
      <c r="F654" t="s">
        <v>34</v>
      </c>
      <c r="G654">
        <v>601551</v>
      </c>
    </row>
    <row r="655" spans="1:7" x14ac:dyDescent="0.45">
      <c r="A655">
        <v>2023</v>
      </c>
      <c r="B655" t="s">
        <v>25</v>
      </c>
      <c r="C655">
        <v>795</v>
      </c>
      <c r="D655">
        <v>469</v>
      </c>
      <c r="E655" t="s">
        <v>187</v>
      </c>
      <c r="F655" t="s">
        <v>22</v>
      </c>
      <c r="G655">
        <v>1179760</v>
      </c>
    </row>
    <row r="656" spans="1:7" x14ac:dyDescent="0.45">
      <c r="A656">
        <v>2022</v>
      </c>
      <c r="B656" t="s">
        <v>25</v>
      </c>
      <c r="C656">
        <v>968</v>
      </c>
      <c r="D656">
        <v>330</v>
      </c>
      <c r="E656" t="s">
        <v>187</v>
      </c>
      <c r="F656" t="s">
        <v>11</v>
      </c>
      <c r="G656">
        <v>1092370</v>
      </c>
    </row>
    <row r="657" spans="1:7" x14ac:dyDescent="0.45">
      <c r="A657">
        <v>2024</v>
      </c>
      <c r="B657" t="s">
        <v>18</v>
      </c>
      <c r="C657">
        <v>312</v>
      </c>
      <c r="D657">
        <v>983</v>
      </c>
      <c r="E657" t="s">
        <v>187</v>
      </c>
      <c r="F657" t="s">
        <v>30</v>
      </c>
      <c r="G657">
        <v>1368522</v>
      </c>
    </row>
    <row r="658" spans="1:7" x14ac:dyDescent="0.45">
      <c r="A658">
        <v>2021</v>
      </c>
      <c r="B658" t="s">
        <v>28</v>
      </c>
      <c r="C658">
        <v>849</v>
      </c>
      <c r="D658">
        <v>156</v>
      </c>
      <c r="E658" t="s">
        <v>187</v>
      </c>
      <c r="F658" t="s">
        <v>19</v>
      </c>
      <c r="G658">
        <v>975331</v>
      </c>
    </row>
    <row r="659" spans="1:7" x14ac:dyDescent="0.45">
      <c r="A659">
        <v>2024</v>
      </c>
      <c r="B659" t="s">
        <v>14</v>
      </c>
      <c r="C659">
        <v>930</v>
      </c>
      <c r="D659">
        <v>563</v>
      </c>
      <c r="E659" t="s">
        <v>187</v>
      </c>
      <c r="F659" t="s">
        <v>30</v>
      </c>
      <c r="G659">
        <v>1380748</v>
      </c>
    </row>
    <row r="660" spans="1:7" x14ac:dyDescent="0.45">
      <c r="A660">
        <v>2022</v>
      </c>
      <c r="B660" t="s">
        <v>20</v>
      </c>
      <c r="C660">
        <v>168</v>
      </c>
      <c r="D660">
        <v>97</v>
      </c>
      <c r="E660" t="s">
        <v>188</v>
      </c>
      <c r="F660" t="s">
        <v>13</v>
      </c>
      <c r="G660">
        <v>472993</v>
      </c>
    </row>
    <row r="661" spans="1:7" x14ac:dyDescent="0.45">
      <c r="A661">
        <v>2024</v>
      </c>
      <c r="B661" t="s">
        <v>10</v>
      </c>
      <c r="C661">
        <v>413</v>
      </c>
      <c r="D661">
        <v>930</v>
      </c>
      <c r="E661" t="s">
        <v>188</v>
      </c>
      <c r="F661" t="s">
        <v>15</v>
      </c>
      <c r="G661">
        <v>384175</v>
      </c>
    </row>
    <row r="662" spans="1:7" x14ac:dyDescent="0.45">
      <c r="A662">
        <v>2021</v>
      </c>
      <c r="B662" t="s">
        <v>10</v>
      </c>
      <c r="C662">
        <v>342</v>
      </c>
      <c r="D662">
        <v>968</v>
      </c>
      <c r="E662" t="s">
        <v>188</v>
      </c>
      <c r="F662" t="s">
        <v>34</v>
      </c>
      <c r="G662">
        <v>273798</v>
      </c>
    </row>
    <row r="663" spans="1:7" x14ac:dyDescent="0.45">
      <c r="A663">
        <v>2023</v>
      </c>
      <c r="B663" t="s">
        <v>12</v>
      </c>
      <c r="C663">
        <v>93</v>
      </c>
      <c r="D663">
        <v>852</v>
      </c>
      <c r="E663" t="s">
        <v>188</v>
      </c>
      <c r="F663" t="s">
        <v>19</v>
      </c>
      <c r="G663">
        <v>331186</v>
      </c>
    </row>
    <row r="664" spans="1:7" x14ac:dyDescent="0.45">
      <c r="A664">
        <v>2023</v>
      </c>
      <c r="B664" t="s">
        <v>25</v>
      </c>
      <c r="C664">
        <v>168</v>
      </c>
      <c r="D664">
        <v>97</v>
      </c>
      <c r="E664" t="s">
        <v>189</v>
      </c>
      <c r="F664" t="s">
        <v>34</v>
      </c>
      <c r="G664">
        <v>624821</v>
      </c>
    </row>
    <row r="665" spans="1:7" x14ac:dyDescent="0.45">
      <c r="A665">
        <v>2022</v>
      </c>
      <c r="B665" t="s">
        <v>18</v>
      </c>
      <c r="C665">
        <v>839</v>
      </c>
      <c r="D665">
        <v>334</v>
      </c>
      <c r="E665" t="s">
        <v>189</v>
      </c>
      <c r="F665" t="s">
        <v>19</v>
      </c>
      <c r="G665">
        <v>578538</v>
      </c>
    </row>
    <row r="666" spans="1:7" x14ac:dyDescent="0.45">
      <c r="A666">
        <v>2021</v>
      </c>
      <c r="B666" t="s">
        <v>20</v>
      </c>
      <c r="C666">
        <v>911</v>
      </c>
      <c r="D666">
        <v>105</v>
      </c>
      <c r="E666" t="s">
        <v>189</v>
      </c>
      <c r="F666" t="s">
        <v>19</v>
      </c>
      <c r="G666">
        <v>516552</v>
      </c>
    </row>
    <row r="667" spans="1:7" x14ac:dyDescent="0.45">
      <c r="A667">
        <v>2024</v>
      </c>
      <c r="B667" t="s">
        <v>28</v>
      </c>
      <c r="C667">
        <v>610</v>
      </c>
      <c r="D667">
        <v>970</v>
      </c>
      <c r="E667" t="s">
        <v>189</v>
      </c>
      <c r="F667" t="s">
        <v>11</v>
      </c>
      <c r="G667">
        <v>724792</v>
      </c>
    </row>
    <row r="668" spans="1:7" x14ac:dyDescent="0.45">
      <c r="A668">
        <v>2021</v>
      </c>
      <c r="B668" t="s">
        <v>25</v>
      </c>
      <c r="C668">
        <v>610</v>
      </c>
      <c r="D668">
        <v>851</v>
      </c>
      <c r="E668" t="s">
        <v>190</v>
      </c>
      <c r="F668" t="s">
        <v>19</v>
      </c>
      <c r="G668">
        <v>235018</v>
      </c>
    </row>
    <row r="669" spans="1:7" x14ac:dyDescent="0.45">
      <c r="A669">
        <v>2023</v>
      </c>
      <c r="B669" t="s">
        <v>27</v>
      </c>
      <c r="C669">
        <v>839</v>
      </c>
      <c r="D669">
        <v>983</v>
      </c>
      <c r="E669" t="s">
        <v>190</v>
      </c>
      <c r="F669" t="s">
        <v>15</v>
      </c>
      <c r="G669">
        <v>284277</v>
      </c>
    </row>
    <row r="670" spans="1:7" x14ac:dyDescent="0.45">
      <c r="A670">
        <v>2022</v>
      </c>
      <c r="B670" t="s">
        <v>28</v>
      </c>
      <c r="C670">
        <v>784</v>
      </c>
      <c r="D670">
        <v>540</v>
      </c>
      <c r="E670" t="s">
        <v>190</v>
      </c>
      <c r="F670" t="s">
        <v>19</v>
      </c>
      <c r="G670">
        <v>263220</v>
      </c>
    </row>
    <row r="671" spans="1:7" x14ac:dyDescent="0.45">
      <c r="A671">
        <v>2024</v>
      </c>
      <c r="B671" t="s">
        <v>12</v>
      </c>
      <c r="C671">
        <v>93</v>
      </c>
      <c r="D671">
        <v>852</v>
      </c>
      <c r="E671" t="s">
        <v>190</v>
      </c>
      <c r="F671" t="s">
        <v>13</v>
      </c>
      <c r="G671">
        <v>329762</v>
      </c>
    </row>
    <row r="672" spans="1:7" x14ac:dyDescent="0.45">
      <c r="A672">
        <v>2022</v>
      </c>
      <c r="B672" t="s">
        <v>16</v>
      </c>
      <c r="C672">
        <v>749</v>
      </c>
      <c r="D672">
        <v>648</v>
      </c>
      <c r="E672" t="s">
        <v>191</v>
      </c>
      <c r="F672" t="s">
        <v>22</v>
      </c>
      <c r="G672">
        <v>185514</v>
      </c>
    </row>
    <row r="673" spans="1:7" x14ac:dyDescent="0.45">
      <c r="A673">
        <v>2023</v>
      </c>
      <c r="B673" t="s">
        <v>18</v>
      </c>
      <c r="C673">
        <v>287</v>
      </c>
      <c r="D673">
        <v>744</v>
      </c>
      <c r="E673" t="s">
        <v>191</v>
      </c>
      <c r="F673" t="s">
        <v>23</v>
      </c>
      <c r="G673">
        <v>200355</v>
      </c>
    </row>
    <row r="674" spans="1:7" x14ac:dyDescent="0.45">
      <c r="A674">
        <v>2024</v>
      </c>
      <c r="B674" t="s">
        <v>12</v>
      </c>
      <c r="C674">
        <v>692</v>
      </c>
      <c r="D674">
        <v>300</v>
      </c>
      <c r="E674" t="s">
        <v>191</v>
      </c>
      <c r="F674" t="s">
        <v>13</v>
      </c>
      <c r="G674">
        <v>232412</v>
      </c>
    </row>
    <row r="675" spans="1:7" x14ac:dyDescent="0.45">
      <c r="A675">
        <v>2021</v>
      </c>
      <c r="B675" t="s">
        <v>12</v>
      </c>
      <c r="C675">
        <v>150</v>
      </c>
      <c r="D675">
        <v>413</v>
      </c>
      <c r="E675" t="s">
        <v>191</v>
      </c>
      <c r="F675" t="s">
        <v>11</v>
      </c>
      <c r="G675">
        <v>165638</v>
      </c>
    </row>
    <row r="676" spans="1:7" x14ac:dyDescent="0.45">
      <c r="A676">
        <v>2022</v>
      </c>
      <c r="B676" t="s">
        <v>20</v>
      </c>
      <c r="C676">
        <v>784</v>
      </c>
      <c r="D676">
        <v>540</v>
      </c>
      <c r="E676" t="s">
        <v>192</v>
      </c>
      <c r="F676" t="s">
        <v>30</v>
      </c>
      <c r="G676">
        <v>587074</v>
      </c>
    </row>
    <row r="677" spans="1:7" x14ac:dyDescent="0.45">
      <c r="A677">
        <v>2023</v>
      </c>
      <c r="B677" t="s">
        <v>10</v>
      </c>
      <c r="C677">
        <v>839</v>
      </c>
      <c r="D677">
        <v>983</v>
      </c>
      <c r="E677" t="s">
        <v>192</v>
      </c>
      <c r="F677" t="s">
        <v>11</v>
      </c>
      <c r="G677">
        <v>634040</v>
      </c>
    </row>
    <row r="678" spans="1:7" x14ac:dyDescent="0.45">
      <c r="A678">
        <v>2021</v>
      </c>
      <c r="B678" t="s">
        <v>10</v>
      </c>
      <c r="C678">
        <v>962</v>
      </c>
      <c r="D678">
        <v>28</v>
      </c>
      <c r="E678" t="s">
        <v>192</v>
      </c>
      <c r="F678" t="s">
        <v>15</v>
      </c>
      <c r="G678">
        <v>524174</v>
      </c>
    </row>
    <row r="679" spans="1:7" x14ac:dyDescent="0.45">
      <c r="A679">
        <v>2024</v>
      </c>
      <c r="B679" t="s">
        <v>28</v>
      </c>
      <c r="C679">
        <v>93</v>
      </c>
      <c r="D679">
        <v>852</v>
      </c>
      <c r="E679" t="s">
        <v>192</v>
      </c>
      <c r="F679" t="s">
        <v>30</v>
      </c>
      <c r="G679">
        <v>735487</v>
      </c>
    </row>
    <row r="680" spans="1:7" x14ac:dyDescent="0.45">
      <c r="A680">
        <v>2022</v>
      </c>
      <c r="B680" t="s">
        <v>10</v>
      </c>
      <c r="C680">
        <v>692</v>
      </c>
      <c r="D680">
        <v>300</v>
      </c>
      <c r="E680" t="s">
        <v>193</v>
      </c>
      <c r="F680" t="s">
        <v>30</v>
      </c>
      <c r="G680">
        <v>306653</v>
      </c>
    </row>
    <row r="681" spans="1:7" x14ac:dyDescent="0.45">
      <c r="A681">
        <v>2021</v>
      </c>
      <c r="B681" t="s">
        <v>10</v>
      </c>
      <c r="C681">
        <v>749</v>
      </c>
      <c r="D681">
        <v>648</v>
      </c>
      <c r="E681" t="s">
        <v>193</v>
      </c>
      <c r="F681" t="s">
        <v>30</v>
      </c>
      <c r="G681">
        <v>186455</v>
      </c>
    </row>
    <row r="682" spans="1:7" x14ac:dyDescent="0.45">
      <c r="A682">
        <v>2023</v>
      </c>
      <c r="B682" t="s">
        <v>28</v>
      </c>
      <c r="C682">
        <v>312</v>
      </c>
      <c r="D682">
        <v>983</v>
      </c>
      <c r="E682" t="s">
        <v>193</v>
      </c>
      <c r="F682" t="s">
        <v>11</v>
      </c>
      <c r="G682">
        <v>331186</v>
      </c>
    </row>
    <row r="683" spans="1:7" x14ac:dyDescent="0.45">
      <c r="A683">
        <v>2022</v>
      </c>
      <c r="B683" t="s">
        <v>25</v>
      </c>
      <c r="C683">
        <v>413</v>
      </c>
      <c r="D683">
        <v>930</v>
      </c>
      <c r="E683" t="s">
        <v>194</v>
      </c>
      <c r="F683" t="s">
        <v>34</v>
      </c>
      <c r="G683">
        <v>167547</v>
      </c>
    </row>
    <row r="684" spans="1:7" x14ac:dyDescent="0.45">
      <c r="A684">
        <v>2023</v>
      </c>
      <c r="B684" t="s">
        <v>18</v>
      </c>
      <c r="C684">
        <v>795</v>
      </c>
      <c r="D684">
        <v>469</v>
      </c>
      <c r="E684" t="s">
        <v>194</v>
      </c>
      <c r="F684" t="s">
        <v>22</v>
      </c>
      <c r="G684">
        <v>180951</v>
      </c>
    </row>
    <row r="685" spans="1:7" x14ac:dyDescent="0.45">
      <c r="A685">
        <v>2021</v>
      </c>
      <c r="B685" t="s">
        <v>27</v>
      </c>
      <c r="C685">
        <v>137</v>
      </c>
      <c r="D685">
        <v>784</v>
      </c>
      <c r="E685" t="s">
        <v>194</v>
      </c>
      <c r="F685" t="s">
        <v>15</v>
      </c>
      <c r="G685">
        <v>149596</v>
      </c>
    </row>
    <row r="686" spans="1:7" x14ac:dyDescent="0.45">
      <c r="A686">
        <v>2024</v>
      </c>
      <c r="B686" t="s">
        <v>28</v>
      </c>
      <c r="C686">
        <v>168</v>
      </c>
      <c r="D686">
        <v>97</v>
      </c>
      <c r="E686" t="s">
        <v>194</v>
      </c>
      <c r="F686" t="s">
        <v>30</v>
      </c>
      <c r="G686">
        <v>209903</v>
      </c>
    </row>
    <row r="687" spans="1:7" x14ac:dyDescent="0.45">
      <c r="A687">
        <v>2024</v>
      </c>
      <c r="B687" t="s">
        <v>28</v>
      </c>
      <c r="C687">
        <v>168</v>
      </c>
      <c r="D687">
        <v>97</v>
      </c>
      <c r="E687" t="s">
        <v>195</v>
      </c>
      <c r="F687" t="s">
        <v>23</v>
      </c>
      <c r="G687">
        <v>820704</v>
      </c>
    </row>
    <row r="688" spans="1:7" x14ac:dyDescent="0.45">
      <c r="A688">
        <v>2023</v>
      </c>
      <c r="B688" t="s">
        <v>28</v>
      </c>
      <c r="C688">
        <v>872</v>
      </c>
      <c r="D688">
        <v>249</v>
      </c>
      <c r="E688" t="s">
        <v>195</v>
      </c>
      <c r="F688" t="s">
        <v>34</v>
      </c>
      <c r="G688">
        <v>707503</v>
      </c>
    </row>
    <row r="689" spans="1:7" x14ac:dyDescent="0.45">
      <c r="A689">
        <v>2022</v>
      </c>
      <c r="B689" t="s">
        <v>28</v>
      </c>
      <c r="C689">
        <v>568</v>
      </c>
      <c r="D689">
        <v>505</v>
      </c>
      <c r="E689" t="s">
        <v>195</v>
      </c>
      <c r="F689" t="s">
        <v>11</v>
      </c>
      <c r="G689">
        <v>655095</v>
      </c>
    </row>
    <row r="690" spans="1:7" x14ac:dyDescent="0.45">
      <c r="A690">
        <v>2021</v>
      </c>
      <c r="B690" t="s">
        <v>14</v>
      </c>
      <c r="C690">
        <v>461</v>
      </c>
      <c r="D690">
        <v>615</v>
      </c>
      <c r="E690" t="s">
        <v>195</v>
      </c>
      <c r="F690" t="s">
        <v>11</v>
      </c>
      <c r="G690">
        <v>584907</v>
      </c>
    </row>
    <row r="691" spans="1:7" x14ac:dyDescent="0.45">
      <c r="A691">
        <v>2022</v>
      </c>
      <c r="B691" t="s">
        <v>25</v>
      </c>
      <c r="C691">
        <v>610</v>
      </c>
      <c r="D691">
        <v>970</v>
      </c>
      <c r="E691" t="s">
        <v>196</v>
      </c>
      <c r="F691" t="s">
        <v>34</v>
      </c>
      <c r="G691">
        <v>701037</v>
      </c>
    </row>
    <row r="692" spans="1:7" x14ac:dyDescent="0.45">
      <c r="A692">
        <v>2021</v>
      </c>
      <c r="B692" t="s">
        <v>25</v>
      </c>
      <c r="C692">
        <v>610</v>
      </c>
      <c r="D692">
        <v>851</v>
      </c>
      <c r="E692" t="s">
        <v>196</v>
      </c>
      <c r="F692" t="s">
        <v>19</v>
      </c>
      <c r="G692">
        <v>625926</v>
      </c>
    </row>
    <row r="693" spans="1:7" x14ac:dyDescent="0.45">
      <c r="A693">
        <v>2023</v>
      </c>
      <c r="B693" t="s">
        <v>27</v>
      </c>
      <c r="C693">
        <v>839</v>
      </c>
      <c r="D693">
        <v>983</v>
      </c>
      <c r="E693" t="s">
        <v>196</v>
      </c>
      <c r="F693" t="s">
        <v>15</v>
      </c>
      <c r="G693">
        <v>757120</v>
      </c>
    </row>
    <row r="694" spans="1:7" x14ac:dyDescent="0.45">
      <c r="A694">
        <v>2024</v>
      </c>
      <c r="B694" t="s">
        <v>14</v>
      </c>
      <c r="C694">
        <v>403</v>
      </c>
      <c r="D694">
        <v>953</v>
      </c>
      <c r="E694" t="s">
        <v>196</v>
      </c>
      <c r="F694" t="s">
        <v>22</v>
      </c>
      <c r="G694">
        <v>878259</v>
      </c>
    </row>
    <row r="695" spans="1:7" x14ac:dyDescent="0.45">
      <c r="A695">
        <v>2022</v>
      </c>
      <c r="B695" t="s">
        <v>16</v>
      </c>
      <c r="C695">
        <v>312</v>
      </c>
      <c r="D695">
        <v>983</v>
      </c>
      <c r="E695" t="s">
        <v>197</v>
      </c>
      <c r="F695" t="s">
        <v>34</v>
      </c>
      <c r="G695">
        <v>816850</v>
      </c>
    </row>
    <row r="696" spans="1:7" x14ac:dyDescent="0.45">
      <c r="A696">
        <v>2021</v>
      </c>
      <c r="B696" t="s">
        <v>25</v>
      </c>
      <c r="C696">
        <v>610</v>
      </c>
      <c r="D696">
        <v>851</v>
      </c>
      <c r="E696" t="s">
        <v>197</v>
      </c>
      <c r="F696" t="s">
        <v>19</v>
      </c>
      <c r="G696">
        <v>729331</v>
      </c>
    </row>
    <row r="697" spans="1:7" x14ac:dyDescent="0.45">
      <c r="A697">
        <v>2024</v>
      </c>
      <c r="B697" t="s">
        <v>10</v>
      </c>
      <c r="C697">
        <v>839</v>
      </c>
      <c r="D697">
        <v>334</v>
      </c>
      <c r="E697" t="s">
        <v>197</v>
      </c>
      <c r="F697" t="s">
        <v>34</v>
      </c>
      <c r="G697">
        <v>1023350</v>
      </c>
    </row>
    <row r="698" spans="1:7" x14ac:dyDescent="0.45">
      <c r="A698">
        <v>2023</v>
      </c>
      <c r="B698" t="s">
        <v>12</v>
      </c>
      <c r="C698">
        <v>403</v>
      </c>
      <c r="D698">
        <v>953</v>
      </c>
      <c r="E698" t="s">
        <v>197</v>
      </c>
      <c r="F698" t="s">
        <v>13</v>
      </c>
      <c r="G698">
        <v>148080</v>
      </c>
    </row>
    <row r="699" spans="1:7" x14ac:dyDescent="0.45">
      <c r="A699">
        <v>2022</v>
      </c>
      <c r="B699" t="s">
        <v>18</v>
      </c>
      <c r="C699">
        <v>403</v>
      </c>
      <c r="D699">
        <v>953</v>
      </c>
      <c r="E699" t="s">
        <v>198</v>
      </c>
      <c r="F699" t="s">
        <v>13</v>
      </c>
      <c r="G699">
        <v>472993</v>
      </c>
    </row>
    <row r="700" spans="1:7" x14ac:dyDescent="0.45">
      <c r="A700">
        <v>2021</v>
      </c>
      <c r="B700" t="s">
        <v>18</v>
      </c>
      <c r="C700">
        <v>28</v>
      </c>
      <c r="D700">
        <v>287</v>
      </c>
      <c r="E700" t="s">
        <v>198</v>
      </c>
      <c r="F700" t="s">
        <v>9</v>
      </c>
      <c r="G700">
        <v>151026</v>
      </c>
    </row>
    <row r="701" spans="1:7" x14ac:dyDescent="0.45">
      <c r="A701">
        <v>2023</v>
      </c>
      <c r="B701" t="s">
        <v>7</v>
      </c>
      <c r="C701">
        <v>692</v>
      </c>
      <c r="D701">
        <v>300</v>
      </c>
      <c r="E701" t="s">
        <v>198</v>
      </c>
      <c r="F701" t="s">
        <v>23</v>
      </c>
      <c r="G701">
        <v>885207</v>
      </c>
    </row>
    <row r="702" spans="1:7" x14ac:dyDescent="0.45">
      <c r="A702">
        <v>2024</v>
      </c>
      <c r="B702" t="s">
        <v>28</v>
      </c>
      <c r="C702">
        <v>597</v>
      </c>
      <c r="D702">
        <v>287</v>
      </c>
      <c r="E702" t="s">
        <v>198</v>
      </c>
      <c r="F702" t="s">
        <v>30</v>
      </c>
      <c r="G702">
        <v>1026840</v>
      </c>
    </row>
    <row r="703" spans="1:7" x14ac:dyDescent="0.45">
      <c r="A703">
        <v>2023</v>
      </c>
      <c r="B703" t="s">
        <v>16</v>
      </c>
      <c r="C703">
        <v>577</v>
      </c>
      <c r="D703">
        <v>175</v>
      </c>
      <c r="E703" t="s">
        <v>199</v>
      </c>
      <c r="F703" t="s">
        <v>15</v>
      </c>
      <c r="G703">
        <v>222753</v>
      </c>
    </row>
    <row r="704" spans="1:7" x14ac:dyDescent="0.45">
      <c r="A704">
        <v>2024</v>
      </c>
      <c r="B704" t="s">
        <v>18</v>
      </c>
      <c r="C704">
        <v>795</v>
      </c>
      <c r="D704">
        <v>469</v>
      </c>
      <c r="E704" t="s">
        <v>199</v>
      </c>
      <c r="F704" t="s">
        <v>13</v>
      </c>
      <c r="G704">
        <v>258394</v>
      </c>
    </row>
    <row r="705" spans="1:7" x14ac:dyDescent="0.45">
      <c r="A705">
        <v>2022</v>
      </c>
      <c r="B705" t="s">
        <v>20</v>
      </c>
      <c r="C705">
        <v>784</v>
      </c>
      <c r="D705">
        <v>540</v>
      </c>
      <c r="E705" t="s">
        <v>199</v>
      </c>
      <c r="F705" t="s">
        <v>30</v>
      </c>
      <c r="G705">
        <v>206253</v>
      </c>
    </row>
    <row r="706" spans="1:7" x14ac:dyDescent="0.45">
      <c r="A706">
        <v>2021</v>
      </c>
      <c r="B706" t="s">
        <v>14</v>
      </c>
      <c r="C706">
        <v>461</v>
      </c>
      <c r="D706">
        <v>615</v>
      </c>
      <c r="E706" t="s">
        <v>199</v>
      </c>
      <c r="F706" t="s">
        <v>11</v>
      </c>
      <c r="G706">
        <v>184155</v>
      </c>
    </row>
    <row r="707" spans="1:7" x14ac:dyDescent="0.45">
      <c r="A707">
        <v>2022</v>
      </c>
      <c r="B707" t="s">
        <v>7</v>
      </c>
      <c r="C707">
        <v>610</v>
      </c>
      <c r="D707">
        <v>970</v>
      </c>
      <c r="E707" t="s">
        <v>200</v>
      </c>
      <c r="F707" t="s">
        <v>15</v>
      </c>
      <c r="G707">
        <v>801894</v>
      </c>
    </row>
    <row r="708" spans="1:7" x14ac:dyDescent="0.45">
      <c r="A708">
        <v>2023</v>
      </c>
      <c r="B708" t="s">
        <v>12</v>
      </c>
      <c r="C708">
        <v>839</v>
      </c>
      <c r="D708">
        <v>983</v>
      </c>
      <c r="E708" t="s">
        <v>200</v>
      </c>
      <c r="F708" t="s">
        <v>22</v>
      </c>
      <c r="G708">
        <v>559043</v>
      </c>
    </row>
    <row r="709" spans="1:7" x14ac:dyDescent="0.45">
      <c r="A709">
        <v>2021</v>
      </c>
      <c r="B709" t="s">
        <v>14</v>
      </c>
      <c r="C709">
        <v>975</v>
      </c>
      <c r="D709">
        <v>282</v>
      </c>
      <c r="E709" t="s">
        <v>200</v>
      </c>
      <c r="F709" t="s">
        <v>15</v>
      </c>
      <c r="G709">
        <v>462172</v>
      </c>
    </row>
    <row r="710" spans="1:7" x14ac:dyDescent="0.45">
      <c r="A710">
        <v>2023</v>
      </c>
      <c r="B710" t="s">
        <v>25</v>
      </c>
      <c r="C710">
        <v>784</v>
      </c>
      <c r="D710">
        <v>540</v>
      </c>
      <c r="E710" t="s">
        <v>201</v>
      </c>
      <c r="F710" t="s">
        <v>19</v>
      </c>
      <c r="G710">
        <v>237258</v>
      </c>
    </row>
    <row r="711" spans="1:7" x14ac:dyDescent="0.45">
      <c r="A711">
        <v>2022</v>
      </c>
      <c r="B711" t="s">
        <v>25</v>
      </c>
      <c r="C711">
        <v>413</v>
      </c>
      <c r="D711">
        <v>930</v>
      </c>
      <c r="E711" t="s">
        <v>201</v>
      </c>
      <c r="F711" t="s">
        <v>15</v>
      </c>
      <c r="G711">
        <v>437881</v>
      </c>
    </row>
    <row r="712" spans="1:7" x14ac:dyDescent="0.45">
      <c r="A712">
        <v>2024</v>
      </c>
      <c r="B712" t="s">
        <v>28</v>
      </c>
      <c r="C712">
        <v>749</v>
      </c>
      <c r="D712">
        <v>648</v>
      </c>
      <c r="E712" t="s">
        <v>201</v>
      </c>
      <c r="F712" t="s">
        <v>11</v>
      </c>
      <c r="G712">
        <v>275219</v>
      </c>
    </row>
    <row r="713" spans="1:7" x14ac:dyDescent="0.45">
      <c r="A713">
        <v>2021</v>
      </c>
      <c r="B713" t="s">
        <v>28</v>
      </c>
      <c r="C713">
        <v>849</v>
      </c>
      <c r="D713">
        <v>156</v>
      </c>
      <c r="E713" t="s">
        <v>201</v>
      </c>
      <c r="F713" t="s">
        <v>19</v>
      </c>
      <c r="G713">
        <v>196146</v>
      </c>
    </row>
    <row r="714" spans="1:7" x14ac:dyDescent="0.45">
      <c r="A714">
        <v>2023</v>
      </c>
      <c r="B714" t="s">
        <v>20</v>
      </c>
      <c r="C714">
        <v>93</v>
      </c>
      <c r="D714">
        <v>852</v>
      </c>
      <c r="E714" t="s">
        <v>202</v>
      </c>
      <c r="F714" t="s">
        <v>13</v>
      </c>
      <c r="G714">
        <v>148080</v>
      </c>
    </row>
    <row r="715" spans="1:7" x14ac:dyDescent="0.45">
      <c r="A715">
        <v>2022</v>
      </c>
      <c r="B715" t="s">
        <v>27</v>
      </c>
      <c r="C715">
        <v>839</v>
      </c>
      <c r="D715">
        <v>983</v>
      </c>
      <c r="E715" t="s">
        <v>202</v>
      </c>
      <c r="F715" t="s">
        <v>15</v>
      </c>
      <c r="G715">
        <v>164317</v>
      </c>
    </row>
    <row r="716" spans="1:7" x14ac:dyDescent="0.45">
      <c r="A716">
        <v>2021</v>
      </c>
      <c r="B716" t="s">
        <v>28</v>
      </c>
      <c r="C716">
        <v>849</v>
      </c>
      <c r="D716">
        <v>156</v>
      </c>
      <c r="E716" t="s">
        <v>202</v>
      </c>
      <c r="F716" t="s">
        <v>19</v>
      </c>
      <c r="G716">
        <v>810445</v>
      </c>
    </row>
    <row r="717" spans="1:7" x14ac:dyDescent="0.45">
      <c r="A717">
        <v>2024</v>
      </c>
      <c r="B717" t="s">
        <v>12</v>
      </c>
      <c r="C717">
        <v>312</v>
      </c>
      <c r="D717">
        <v>983</v>
      </c>
      <c r="E717" t="s">
        <v>202</v>
      </c>
      <c r="F717" t="s">
        <v>34</v>
      </c>
      <c r="G717">
        <v>1137164</v>
      </c>
    </row>
    <row r="718" spans="1:7" x14ac:dyDescent="0.45">
      <c r="A718">
        <v>2024</v>
      </c>
      <c r="B718" t="s">
        <v>18</v>
      </c>
      <c r="C718">
        <v>210</v>
      </c>
      <c r="D718">
        <v>177</v>
      </c>
      <c r="E718" t="s">
        <v>203</v>
      </c>
      <c r="F718" t="s">
        <v>13</v>
      </c>
      <c r="G718">
        <v>640649</v>
      </c>
    </row>
    <row r="719" spans="1:7" x14ac:dyDescent="0.45">
      <c r="A719">
        <v>2021</v>
      </c>
      <c r="B719" t="s">
        <v>10</v>
      </c>
      <c r="C719">
        <v>734</v>
      </c>
      <c r="D719">
        <v>568</v>
      </c>
      <c r="E719" t="s">
        <v>203</v>
      </c>
      <c r="F719" t="s">
        <v>30</v>
      </c>
      <c r="G719">
        <v>186455</v>
      </c>
    </row>
    <row r="720" spans="1:7" x14ac:dyDescent="0.45">
      <c r="A720">
        <v>2022</v>
      </c>
      <c r="B720" t="s">
        <v>12</v>
      </c>
      <c r="C720">
        <v>839</v>
      </c>
      <c r="D720">
        <v>334</v>
      </c>
      <c r="E720" t="s">
        <v>203</v>
      </c>
      <c r="F720" t="s">
        <v>9</v>
      </c>
      <c r="G720">
        <v>883137</v>
      </c>
    </row>
    <row r="721" spans="1:7" x14ac:dyDescent="0.45">
      <c r="A721">
        <v>2023</v>
      </c>
      <c r="B721" t="s">
        <v>14</v>
      </c>
      <c r="C721">
        <v>597</v>
      </c>
      <c r="D721">
        <v>287</v>
      </c>
      <c r="E721" t="s">
        <v>203</v>
      </c>
      <c r="F721" t="s">
        <v>30</v>
      </c>
      <c r="G721">
        <v>552284</v>
      </c>
    </row>
    <row r="722" spans="1:7" x14ac:dyDescent="0.45">
      <c r="A722">
        <v>2021</v>
      </c>
      <c r="B722" t="s">
        <v>25</v>
      </c>
      <c r="C722">
        <v>934</v>
      </c>
      <c r="D722">
        <v>75</v>
      </c>
      <c r="E722" t="s">
        <v>204</v>
      </c>
      <c r="F722" t="s">
        <v>9</v>
      </c>
      <c r="G722">
        <v>376527</v>
      </c>
    </row>
    <row r="723" spans="1:7" x14ac:dyDescent="0.45">
      <c r="A723">
        <v>2023</v>
      </c>
      <c r="B723" t="s">
        <v>7</v>
      </c>
      <c r="C723">
        <v>795</v>
      </c>
      <c r="D723">
        <v>469</v>
      </c>
      <c r="E723" t="s">
        <v>204</v>
      </c>
      <c r="F723" t="s">
        <v>22</v>
      </c>
      <c r="G723">
        <v>455447</v>
      </c>
    </row>
    <row r="724" spans="1:7" x14ac:dyDescent="0.45">
      <c r="A724">
        <v>2022</v>
      </c>
      <c r="B724" t="s">
        <v>14</v>
      </c>
      <c r="C724">
        <v>577</v>
      </c>
      <c r="D724">
        <v>175</v>
      </c>
      <c r="E724" t="s">
        <v>204</v>
      </c>
      <c r="F724" t="s">
        <v>23</v>
      </c>
      <c r="G724">
        <v>972776</v>
      </c>
    </row>
    <row r="725" spans="1:7" x14ac:dyDescent="0.45">
      <c r="A725">
        <v>2022</v>
      </c>
      <c r="B725" t="s">
        <v>25</v>
      </c>
      <c r="C725">
        <v>795</v>
      </c>
      <c r="D725">
        <v>469</v>
      </c>
      <c r="E725" t="s">
        <v>205</v>
      </c>
      <c r="F725" t="s">
        <v>19</v>
      </c>
      <c r="G725">
        <v>117088</v>
      </c>
    </row>
    <row r="726" spans="1:7" x14ac:dyDescent="0.45">
      <c r="A726">
        <v>2021</v>
      </c>
      <c r="B726" t="s">
        <v>25</v>
      </c>
      <c r="C726">
        <v>156</v>
      </c>
      <c r="D726">
        <v>54</v>
      </c>
      <c r="E726" t="s">
        <v>205</v>
      </c>
      <c r="F726" t="s">
        <v>11</v>
      </c>
      <c r="G726">
        <v>128292</v>
      </c>
    </row>
    <row r="727" spans="1:7" x14ac:dyDescent="0.45">
      <c r="A727">
        <v>2023</v>
      </c>
      <c r="B727" t="s">
        <v>27</v>
      </c>
      <c r="C727">
        <v>312</v>
      </c>
      <c r="D727">
        <v>983</v>
      </c>
      <c r="E727" t="s">
        <v>205</v>
      </c>
      <c r="F727" t="s">
        <v>34</v>
      </c>
      <c r="G727">
        <v>155182</v>
      </c>
    </row>
    <row r="728" spans="1:7" x14ac:dyDescent="0.45">
      <c r="A728">
        <v>2021</v>
      </c>
      <c r="B728" t="s">
        <v>16</v>
      </c>
      <c r="C728">
        <v>590</v>
      </c>
      <c r="D728">
        <v>268</v>
      </c>
      <c r="E728" t="s">
        <v>206</v>
      </c>
      <c r="F728" t="s">
        <v>15</v>
      </c>
      <c r="G728">
        <v>769514</v>
      </c>
    </row>
    <row r="729" spans="1:7" x14ac:dyDescent="0.45">
      <c r="A729">
        <v>2022</v>
      </c>
      <c r="B729" t="s">
        <v>25</v>
      </c>
      <c r="C729">
        <v>968</v>
      </c>
      <c r="D729">
        <v>330</v>
      </c>
      <c r="E729" t="s">
        <v>206</v>
      </c>
      <c r="F729" t="s">
        <v>11</v>
      </c>
      <c r="G729">
        <v>390192</v>
      </c>
    </row>
    <row r="730" spans="1:7" x14ac:dyDescent="0.45">
      <c r="A730">
        <v>2024</v>
      </c>
      <c r="B730" t="s">
        <v>28</v>
      </c>
      <c r="C730">
        <v>210</v>
      </c>
      <c r="D730">
        <v>177</v>
      </c>
      <c r="E730" t="s">
        <v>206</v>
      </c>
      <c r="F730" t="s">
        <v>15</v>
      </c>
      <c r="G730">
        <v>1079732</v>
      </c>
    </row>
    <row r="731" spans="1:7" x14ac:dyDescent="0.45">
      <c r="A731">
        <v>2023</v>
      </c>
      <c r="B731" t="s">
        <v>28</v>
      </c>
      <c r="C731">
        <v>839</v>
      </c>
      <c r="D731">
        <v>334</v>
      </c>
      <c r="E731" t="s">
        <v>206</v>
      </c>
      <c r="F731" t="s">
        <v>23</v>
      </c>
      <c r="G731">
        <v>930804</v>
      </c>
    </row>
    <row r="732" spans="1:7" x14ac:dyDescent="0.45">
      <c r="A732">
        <v>2024</v>
      </c>
      <c r="B732" t="s">
        <v>25</v>
      </c>
      <c r="C732">
        <v>839</v>
      </c>
      <c r="D732">
        <v>983</v>
      </c>
      <c r="E732" t="s">
        <v>207</v>
      </c>
      <c r="F732" t="s">
        <v>11</v>
      </c>
      <c r="G732">
        <v>486983</v>
      </c>
    </row>
    <row r="733" spans="1:7" x14ac:dyDescent="0.45">
      <c r="A733">
        <v>2023</v>
      </c>
      <c r="B733" t="s">
        <v>20</v>
      </c>
      <c r="C733">
        <v>784</v>
      </c>
      <c r="D733">
        <v>540</v>
      </c>
      <c r="E733" t="s">
        <v>207</v>
      </c>
      <c r="F733" t="s">
        <v>30</v>
      </c>
      <c r="G733">
        <v>419813</v>
      </c>
    </row>
    <row r="734" spans="1:7" x14ac:dyDescent="0.45">
      <c r="A734">
        <v>2022</v>
      </c>
      <c r="B734" t="s">
        <v>10</v>
      </c>
      <c r="C734">
        <v>930</v>
      </c>
      <c r="D734">
        <v>563</v>
      </c>
      <c r="E734" t="s">
        <v>207</v>
      </c>
      <c r="F734" t="s">
        <v>15</v>
      </c>
      <c r="G734">
        <v>304622</v>
      </c>
    </row>
    <row r="735" spans="1:7" x14ac:dyDescent="0.45">
      <c r="A735">
        <v>2021</v>
      </c>
      <c r="B735" t="s">
        <v>27</v>
      </c>
      <c r="C735">
        <v>137</v>
      </c>
      <c r="D735">
        <v>784</v>
      </c>
      <c r="E735" t="s">
        <v>207</v>
      </c>
      <c r="F735" t="s">
        <v>11</v>
      </c>
      <c r="G735">
        <v>347068</v>
      </c>
    </row>
    <row r="736" spans="1:7" x14ac:dyDescent="0.45">
      <c r="A736">
        <v>2022</v>
      </c>
      <c r="B736" t="s">
        <v>27</v>
      </c>
      <c r="C736">
        <v>692</v>
      </c>
      <c r="D736">
        <v>300</v>
      </c>
      <c r="E736" t="s">
        <v>208</v>
      </c>
      <c r="F736" t="s">
        <v>11</v>
      </c>
      <c r="G736">
        <v>1032643</v>
      </c>
    </row>
    <row r="737" spans="1:7" x14ac:dyDescent="0.45">
      <c r="A737">
        <v>2024</v>
      </c>
      <c r="B737" t="s">
        <v>12</v>
      </c>
      <c r="C737">
        <v>568</v>
      </c>
      <c r="D737">
        <v>505</v>
      </c>
      <c r="E737" t="s">
        <v>208</v>
      </c>
      <c r="F737" t="s">
        <v>22</v>
      </c>
      <c r="G737">
        <v>859627</v>
      </c>
    </row>
    <row r="738" spans="1:7" x14ac:dyDescent="0.45">
      <c r="A738">
        <v>2023</v>
      </c>
      <c r="B738" t="s">
        <v>12</v>
      </c>
      <c r="C738">
        <v>872</v>
      </c>
      <c r="D738">
        <v>249</v>
      </c>
      <c r="E738" t="s">
        <v>208</v>
      </c>
      <c r="F738" t="s">
        <v>30</v>
      </c>
      <c r="G738">
        <v>741057</v>
      </c>
    </row>
    <row r="739" spans="1:7" x14ac:dyDescent="0.45">
      <c r="A739">
        <v>2021</v>
      </c>
      <c r="B739" t="s">
        <v>12</v>
      </c>
      <c r="C739">
        <v>150</v>
      </c>
      <c r="D739">
        <v>413</v>
      </c>
      <c r="E739" t="s">
        <v>208</v>
      </c>
      <c r="F739" t="s">
        <v>19</v>
      </c>
      <c r="G739">
        <v>612647</v>
      </c>
    </row>
    <row r="740" spans="1:7" x14ac:dyDescent="0.45">
      <c r="A740">
        <v>2021</v>
      </c>
      <c r="B740" t="s">
        <v>25</v>
      </c>
      <c r="C740">
        <v>739</v>
      </c>
      <c r="D740">
        <v>105</v>
      </c>
      <c r="E740" t="s">
        <v>209</v>
      </c>
      <c r="F740" t="s">
        <v>19</v>
      </c>
      <c r="G740">
        <v>634029</v>
      </c>
    </row>
    <row r="741" spans="1:7" x14ac:dyDescent="0.45">
      <c r="A741">
        <v>2022</v>
      </c>
      <c r="B741" t="s">
        <v>28</v>
      </c>
      <c r="C741">
        <v>577</v>
      </c>
      <c r="D741">
        <v>175</v>
      </c>
      <c r="E741" t="s">
        <v>209</v>
      </c>
      <c r="F741" t="s">
        <v>13</v>
      </c>
      <c r="G741">
        <v>472993</v>
      </c>
    </row>
    <row r="742" spans="1:7" x14ac:dyDescent="0.45">
      <c r="A742">
        <v>2024</v>
      </c>
      <c r="B742" t="s">
        <v>14</v>
      </c>
      <c r="C742">
        <v>839</v>
      </c>
      <c r="D742">
        <v>983</v>
      </c>
      <c r="E742" t="s">
        <v>209</v>
      </c>
      <c r="F742" t="s">
        <v>9</v>
      </c>
      <c r="G742">
        <v>889628</v>
      </c>
    </row>
    <row r="743" spans="1:7" x14ac:dyDescent="0.45">
      <c r="A743">
        <v>2023</v>
      </c>
      <c r="B743" t="s">
        <v>14</v>
      </c>
      <c r="C743">
        <v>930</v>
      </c>
      <c r="D743">
        <v>563</v>
      </c>
      <c r="E743" t="s">
        <v>209</v>
      </c>
      <c r="F743" t="s">
        <v>30</v>
      </c>
      <c r="G743">
        <v>766921</v>
      </c>
    </row>
    <row r="744" spans="1:7" x14ac:dyDescent="0.45">
      <c r="A744">
        <v>2022</v>
      </c>
      <c r="B744" t="s">
        <v>25</v>
      </c>
      <c r="C744">
        <v>839</v>
      </c>
      <c r="D744">
        <v>334</v>
      </c>
      <c r="E744" t="s">
        <v>210</v>
      </c>
      <c r="F744" t="s">
        <v>19</v>
      </c>
      <c r="G744">
        <v>836894</v>
      </c>
    </row>
    <row r="745" spans="1:7" x14ac:dyDescent="0.45">
      <c r="A745">
        <v>2021</v>
      </c>
      <c r="B745" t="s">
        <v>25</v>
      </c>
      <c r="C745">
        <v>934</v>
      </c>
      <c r="D745">
        <v>75</v>
      </c>
      <c r="E745" t="s">
        <v>210</v>
      </c>
      <c r="F745" t="s">
        <v>19</v>
      </c>
      <c r="G745">
        <v>543778</v>
      </c>
    </row>
    <row r="746" spans="1:7" x14ac:dyDescent="0.45">
      <c r="A746">
        <v>2023</v>
      </c>
      <c r="B746" t="s">
        <v>28</v>
      </c>
      <c r="C746">
        <v>610</v>
      </c>
      <c r="D746">
        <v>970</v>
      </c>
      <c r="E746" t="s">
        <v>210</v>
      </c>
      <c r="F746" t="s">
        <v>34</v>
      </c>
      <c r="G746">
        <v>657753</v>
      </c>
    </row>
    <row r="747" spans="1:7" x14ac:dyDescent="0.45">
      <c r="A747">
        <v>2022</v>
      </c>
      <c r="B747" t="s">
        <v>16</v>
      </c>
      <c r="C747">
        <v>610</v>
      </c>
      <c r="D747">
        <v>970</v>
      </c>
      <c r="E747" t="s">
        <v>211</v>
      </c>
      <c r="F747" t="s">
        <v>34</v>
      </c>
      <c r="G747">
        <v>801894</v>
      </c>
    </row>
    <row r="748" spans="1:7" x14ac:dyDescent="0.45">
      <c r="A748">
        <v>2023</v>
      </c>
      <c r="B748" t="s">
        <v>18</v>
      </c>
      <c r="C748">
        <v>287</v>
      </c>
      <c r="D748">
        <v>744</v>
      </c>
      <c r="E748" t="s">
        <v>211</v>
      </c>
      <c r="F748" t="s">
        <v>23</v>
      </c>
      <c r="G748">
        <v>214867</v>
      </c>
    </row>
    <row r="749" spans="1:7" x14ac:dyDescent="0.45">
      <c r="A749">
        <v>2024</v>
      </c>
      <c r="B749" t="s">
        <v>12</v>
      </c>
      <c r="C749">
        <v>872</v>
      </c>
      <c r="D749">
        <v>249</v>
      </c>
      <c r="E749" t="s">
        <v>211</v>
      </c>
      <c r="F749" t="s">
        <v>11</v>
      </c>
      <c r="G749">
        <v>249246</v>
      </c>
    </row>
    <row r="750" spans="1:7" x14ac:dyDescent="0.45">
      <c r="A750">
        <v>2021</v>
      </c>
      <c r="B750" t="s">
        <v>12</v>
      </c>
      <c r="C750">
        <v>957</v>
      </c>
      <c r="D750">
        <v>210</v>
      </c>
      <c r="E750" t="s">
        <v>211</v>
      </c>
      <c r="F750" t="s">
        <v>22</v>
      </c>
      <c r="G750">
        <v>177635</v>
      </c>
    </row>
    <row r="751" spans="1:7" x14ac:dyDescent="0.45">
      <c r="A751">
        <v>2024</v>
      </c>
      <c r="B751" t="s">
        <v>25</v>
      </c>
      <c r="C751">
        <v>839</v>
      </c>
      <c r="D751">
        <v>334</v>
      </c>
      <c r="E751" t="s">
        <v>212</v>
      </c>
      <c r="F751" t="s">
        <v>19</v>
      </c>
      <c r="G751">
        <v>556027</v>
      </c>
    </row>
    <row r="752" spans="1:7" x14ac:dyDescent="0.45">
      <c r="A752">
        <v>2023</v>
      </c>
      <c r="B752" t="s">
        <v>25</v>
      </c>
      <c r="C752">
        <v>568</v>
      </c>
      <c r="D752">
        <v>505</v>
      </c>
      <c r="E752" t="s">
        <v>212</v>
      </c>
      <c r="F752" t="s">
        <v>9</v>
      </c>
      <c r="G752">
        <v>479334</v>
      </c>
    </row>
    <row r="753" spans="1:7" x14ac:dyDescent="0.45">
      <c r="A753">
        <v>2021</v>
      </c>
      <c r="B753" t="s">
        <v>10</v>
      </c>
      <c r="C753">
        <v>479</v>
      </c>
      <c r="D753">
        <v>934</v>
      </c>
      <c r="E753" t="s">
        <v>212</v>
      </c>
      <c r="F753" t="s">
        <v>30</v>
      </c>
      <c r="G753">
        <v>186455</v>
      </c>
    </row>
    <row r="754" spans="1:7" x14ac:dyDescent="0.45">
      <c r="A754">
        <v>2022</v>
      </c>
      <c r="B754" t="s">
        <v>12</v>
      </c>
      <c r="C754">
        <v>872</v>
      </c>
      <c r="D754">
        <v>249</v>
      </c>
      <c r="E754" t="s">
        <v>212</v>
      </c>
      <c r="F754" t="s">
        <v>30</v>
      </c>
      <c r="G754">
        <v>472993</v>
      </c>
    </row>
    <row r="755" spans="1:7" x14ac:dyDescent="0.45">
      <c r="A755">
        <v>2023</v>
      </c>
      <c r="B755" t="s">
        <v>18</v>
      </c>
      <c r="C755">
        <v>610</v>
      </c>
      <c r="D755">
        <v>970</v>
      </c>
      <c r="E755" t="s">
        <v>213</v>
      </c>
      <c r="F755" t="s">
        <v>9</v>
      </c>
      <c r="G755">
        <v>1180128</v>
      </c>
    </row>
    <row r="756" spans="1:7" x14ac:dyDescent="0.45">
      <c r="A756">
        <v>2022</v>
      </c>
      <c r="B756" t="s">
        <v>18</v>
      </c>
      <c r="C756">
        <v>287</v>
      </c>
      <c r="D756">
        <v>744</v>
      </c>
      <c r="E756" t="s">
        <v>213</v>
      </c>
      <c r="F756" t="s">
        <v>23</v>
      </c>
      <c r="G756">
        <v>819636</v>
      </c>
    </row>
    <row r="757" spans="1:7" x14ac:dyDescent="0.45">
      <c r="A757">
        <v>2024</v>
      </c>
      <c r="B757" t="s">
        <v>20</v>
      </c>
      <c r="C757">
        <v>872</v>
      </c>
      <c r="D757">
        <v>249</v>
      </c>
      <c r="E757" t="s">
        <v>213</v>
      </c>
      <c r="F757" t="s">
        <v>30</v>
      </c>
      <c r="G757">
        <v>1380748</v>
      </c>
    </row>
    <row r="758" spans="1:7" x14ac:dyDescent="0.45">
      <c r="A758">
        <v>2021</v>
      </c>
      <c r="B758" t="s">
        <v>10</v>
      </c>
      <c r="C758">
        <v>774</v>
      </c>
      <c r="D758">
        <v>33</v>
      </c>
      <c r="E758" t="s">
        <v>213</v>
      </c>
      <c r="F758" t="s">
        <v>30</v>
      </c>
      <c r="G758">
        <v>186455</v>
      </c>
    </row>
    <row r="759" spans="1:7" x14ac:dyDescent="0.45">
      <c r="A759">
        <v>2024</v>
      </c>
      <c r="B759" t="s">
        <v>27</v>
      </c>
      <c r="C759">
        <v>577</v>
      </c>
      <c r="D759">
        <v>175</v>
      </c>
      <c r="E759" t="s">
        <v>213</v>
      </c>
      <c r="F759" t="s">
        <v>30</v>
      </c>
      <c r="G759">
        <v>1368948</v>
      </c>
    </row>
    <row r="760" spans="1:7" x14ac:dyDescent="0.45">
      <c r="A760">
        <v>2021</v>
      </c>
      <c r="B760" t="s">
        <v>16</v>
      </c>
      <c r="C760">
        <v>105</v>
      </c>
      <c r="D760">
        <v>924</v>
      </c>
      <c r="E760" t="s">
        <v>214</v>
      </c>
      <c r="F760" t="s">
        <v>34</v>
      </c>
      <c r="G760">
        <v>589634</v>
      </c>
    </row>
    <row r="761" spans="1:7" x14ac:dyDescent="0.45">
      <c r="A761">
        <v>2022</v>
      </c>
      <c r="B761" t="s">
        <v>18</v>
      </c>
      <c r="C761">
        <v>784</v>
      </c>
      <c r="D761">
        <v>540</v>
      </c>
      <c r="E761" t="s">
        <v>214</v>
      </c>
      <c r="F761" t="s">
        <v>13</v>
      </c>
      <c r="G761">
        <v>472993</v>
      </c>
    </row>
    <row r="762" spans="1:7" x14ac:dyDescent="0.45">
      <c r="A762">
        <v>2023</v>
      </c>
      <c r="B762" t="s">
        <v>27</v>
      </c>
      <c r="C762">
        <v>692</v>
      </c>
      <c r="D762">
        <v>300</v>
      </c>
      <c r="E762" t="s">
        <v>214</v>
      </c>
      <c r="F762" t="s">
        <v>9</v>
      </c>
      <c r="G762">
        <v>713221</v>
      </c>
    </row>
    <row r="763" spans="1:7" x14ac:dyDescent="0.45">
      <c r="A763">
        <v>2021</v>
      </c>
      <c r="B763" t="s">
        <v>25</v>
      </c>
      <c r="C763">
        <v>515</v>
      </c>
      <c r="D763">
        <v>210</v>
      </c>
      <c r="E763" t="s">
        <v>215</v>
      </c>
      <c r="F763" t="s">
        <v>11</v>
      </c>
      <c r="G763">
        <v>631391</v>
      </c>
    </row>
    <row r="764" spans="1:7" x14ac:dyDescent="0.45">
      <c r="A764">
        <v>2022</v>
      </c>
      <c r="B764" t="s">
        <v>18</v>
      </c>
      <c r="C764">
        <v>872</v>
      </c>
      <c r="D764">
        <v>249</v>
      </c>
      <c r="E764" t="s">
        <v>215</v>
      </c>
      <c r="F764" t="s">
        <v>19</v>
      </c>
      <c r="G764">
        <v>466947</v>
      </c>
    </row>
    <row r="765" spans="1:7" x14ac:dyDescent="0.45">
      <c r="A765">
        <v>2024</v>
      </c>
      <c r="B765" t="s">
        <v>7</v>
      </c>
      <c r="C765">
        <v>839</v>
      </c>
      <c r="D765">
        <v>334</v>
      </c>
      <c r="E765" t="s">
        <v>215</v>
      </c>
      <c r="F765" t="s">
        <v>15</v>
      </c>
      <c r="G765">
        <v>885927</v>
      </c>
    </row>
    <row r="766" spans="1:7" x14ac:dyDescent="0.45">
      <c r="A766">
        <v>2023</v>
      </c>
      <c r="B766" t="s">
        <v>28</v>
      </c>
      <c r="C766">
        <v>568</v>
      </c>
      <c r="D766">
        <v>505</v>
      </c>
      <c r="E766" t="s">
        <v>215</v>
      </c>
      <c r="F766" t="s">
        <v>11</v>
      </c>
      <c r="G766">
        <v>763730</v>
      </c>
    </row>
    <row r="767" spans="1:7" x14ac:dyDescent="0.45">
      <c r="A767">
        <v>2021</v>
      </c>
      <c r="B767" t="s">
        <v>27</v>
      </c>
      <c r="C767">
        <v>256</v>
      </c>
      <c r="D767">
        <v>839</v>
      </c>
      <c r="E767" t="s">
        <v>216</v>
      </c>
      <c r="F767" t="s">
        <v>34</v>
      </c>
      <c r="G767">
        <v>629942</v>
      </c>
    </row>
    <row r="768" spans="1:7" x14ac:dyDescent="0.45">
      <c r="A768">
        <v>2022</v>
      </c>
      <c r="B768" t="s">
        <v>28</v>
      </c>
      <c r="C768">
        <v>692</v>
      </c>
      <c r="D768">
        <v>300</v>
      </c>
      <c r="E768" t="s">
        <v>216</v>
      </c>
      <c r="F768" t="s">
        <v>34</v>
      </c>
      <c r="G768">
        <v>482446</v>
      </c>
    </row>
    <row r="769" spans="1:7" x14ac:dyDescent="0.45">
      <c r="A769">
        <v>2023</v>
      </c>
      <c r="B769" t="s">
        <v>12</v>
      </c>
      <c r="C769">
        <v>872</v>
      </c>
      <c r="D769">
        <v>249</v>
      </c>
      <c r="E769" t="s">
        <v>216</v>
      </c>
      <c r="F769" t="s">
        <v>15</v>
      </c>
      <c r="G769">
        <v>761977</v>
      </c>
    </row>
    <row r="770" spans="1:7" x14ac:dyDescent="0.45">
      <c r="A770">
        <v>2021</v>
      </c>
      <c r="B770" t="s">
        <v>25</v>
      </c>
      <c r="C770">
        <v>851</v>
      </c>
      <c r="D770">
        <v>162</v>
      </c>
      <c r="E770" t="s">
        <v>217</v>
      </c>
      <c r="F770" t="s">
        <v>34</v>
      </c>
      <c r="G770">
        <v>955550</v>
      </c>
    </row>
    <row r="771" spans="1:7" x14ac:dyDescent="0.45">
      <c r="A771">
        <v>2022</v>
      </c>
      <c r="B771" t="s">
        <v>10</v>
      </c>
      <c r="C771">
        <v>413</v>
      </c>
      <c r="D771">
        <v>930</v>
      </c>
      <c r="E771" t="s">
        <v>217</v>
      </c>
      <c r="F771" t="s">
        <v>30</v>
      </c>
      <c r="G771">
        <v>692508</v>
      </c>
    </row>
    <row r="772" spans="1:7" x14ac:dyDescent="0.45">
      <c r="A772">
        <v>2023</v>
      </c>
      <c r="B772" t="s">
        <v>27</v>
      </c>
      <c r="C772">
        <v>839</v>
      </c>
      <c r="D772">
        <v>334</v>
      </c>
      <c r="E772" t="s">
        <v>217</v>
      </c>
      <c r="F772" t="s">
        <v>9</v>
      </c>
      <c r="G772">
        <v>1155833</v>
      </c>
    </row>
    <row r="773" spans="1:7" x14ac:dyDescent="0.45">
      <c r="A773">
        <v>2021</v>
      </c>
      <c r="B773" t="s">
        <v>18</v>
      </c>
      <c r="C773">
        <v>299</v>
      </c>
      <c r="D773">
        <v>975</v>
      </c>
      <c r="E773" t="s">
        <v>218</v>
      </c>
      <c r="F773" t="s">
        <v>19</v>
      </c>
      <c r="G773">
        <v>223444</v>
      </c>
    </row>
    <row r="774" spans="1:7" x14ac:dyDescent="0.45">
      <c r="A774">
        <v>2023</v>
      </c>
      <c r="B774" t="s">
        <v>20</v>
      </c>
      <c r="C774">
        <v>784</v>
      </c>
      <c r="D774">
        <v>540</v>
      </c>
      <c r="E774" t="s">
        <v>218</v>
      </c>
      <c r="F774" t="s">
        <v>30</v>
      </c>
      <c r="G774">
        <v>270277</v>
      </c>
    </row>
    <row r="775" spans="1:7" x14ac:dyDescent="0.45">
      <c r="A775">
        <v>2024</v>
      </c>
      <c r="B775" t="s">
        <v>10</v>
      </c>
      <c r="C775">
        <v>749</v>
      </c>
      <c r="D775">
        <v>648</v>
      </c>
      <c r="E775" t="s">
        <v>218</v>
      </c>
      <c r="F775" t="s">
        <v>11</v>
      </c>
      <c r="G775">
        <v>313522</v>
      </c>
    </row>
    <row r="776" spans="1:7" x14ac:dyDescent="0.45">
      <c r="A776">
        <v>2022</v>
      </c>
      <c r="B776" t="s">
        <v>14</v>
      </c>
      <c r="C776">
        <v>413</v>
      </c>
      <c r="D776">
        <v>930</v>
      </c>
      <c r="E776" t="s">
        <v>218</v>
      </c>
      <c r="F776" t="s">
        <v>13</v>
      </c>
      <c r="G776">
        <v>472993</v>
      </c>
    </row>
    <row r="777" spans="1:7" x14ac:dyDescent="0.45">
      <c r="A777">
        <v>2022</v>
      </c>
      <c r="B777" t="s">
        <v>18</v>
      </c>
      <c r="C777">
        <v>784</v>
      </c>
      <c r="D777">
        <v>540</v>
      </c>
      <c r="E777" t="s">
        <v>219</v>
      </c>
      <c r="F777" t="s">
        <v>19</v>
      </c>
      <c r="G777">
        <v>349305</v>
      </c>
    </row>
    <row r="778" spans="1:7" x14ac:dyDescent="0.45">
      <c r="A778">
        <v>2021</v>
      </c>
      <c r="B778" t="s">
        <v>10</v>
      </c>
      <c r="C778">
        <v>249</v>
      </c>
      <c r="D778">
        <v>975</v>
      </c>
      <c r="E778" t="s">
        <v>219</v>
      </c>
      <c r="F778" t="s">
        <v>30</v>
      </c>
      <c r="G778">
        <v>102180</v>
      </c>
    </row>
    <row r="779" spans="1:7" x14ac:dyDescent="0.45">
      <c r="A779">
        <v>2024</v>
      </c>
      <c r="B779" t="s">
        <v>27</v>
      </c>
      <c r="C779">
        <v>795</v>
      </c>
      <c r="D779">
        <v>469</v>
      </c>
      <c r="E779" t="s">
        <v>219</v>
      </c>
      <c r="F779" t="s">
        <v>13</v>
      </c>
      <c r="G779">
        <v>143372</v>
      </c>
    </row>
    <row r="780" spans="1:7" x14ac:dyDescent="0.45">
      <c r="A780">
        <v>2023</v>
      </c>
      <c r="B780" t="s">
        <v>28</v>
      </c>
      <c r="C780">
        <v>577</v>
      </c>
      <c r="D780">
        <v>175</v>
      </c>
      <c r="E780" t="s">
        <v>219</v>
      </c>
      <c r="F780" t="s">
        <v>13</v>
      </c>
      <c r="G780">
        <v>148080</v>
      </c>
    </row>
    <row r="781" spans="1:7" x14ac:dyDescent="0.45">
      <c r="A781">
        <v>2021</v>
      </c>
      <c r="B781" t="s">
        <v>16</v>
      </c>
      <c r="C781">
        <v>105</v>
      </c>
      <c r="D781">
        <v>924</v>
      </c>
      <c r="E781" t="s">
        <v>220</v>
      </c>
      <c r="F781" t="s">
        <v>15</v>
      </c>
      <c r="G781">
        <v>862660</v>
      </c>
    </row>
    <row r="782" spans="1:7" x14ac:dyDescent="0.45">
      <c r="A782">
        <v>2024</v>
      </c>
      <c r="B782" t="s">
        <v>25</v>
      </c>
      <c r="C782">
        <v>577</v>
      </c>
      <c r="D782">
        <v>175</v>
      </c>
      <c r="E782" t="s">
        <v>220</v>
      </c>
      <c r="F782" t="s">
        <v>13</v>
      </c>
      <c r="G782">
        <v>496606</v>
      </c>
    </row>
    <row r="783" spans="1:7" x14ac:dyDescent="0.45">
      <c r="A783">
        <v>2022</v>
      </c>
      <c r="B783" t="s">
        <v>28</v>
      </c>
      <c r="C783">
        <v>287</v>
      </c>
      <c r="D783">
        <v>744</v>
      </c>
      <c r="E783" t="s">
        <v>220</v>
      </c>
      <c r="F783" t="s">
        <v>34</v>
      </c>
      <c r="G783">
        <v>429470</v>
      </c>
    </row>
    <row r="784" spans="1:7" x14ac:dyDescent="0.45">
      <c r="A784">
        <v>2023</v>
      </c>
      <c r="B784" t="s">
        <v>12</v>
      </c>
      <c r="C784">
        <v>568</v>
      </c>
      <c r="D784">
        <v>505</v>
      </c>
      <c r="E784" t="s">
        <v>220</v>
      </c>
      <c r="F784" t="s">
        <v>19</v>
      </c>
      <c r="G784">
        <v>1043473</v>
      </c>
    </row>
    <row r="785" spans="1:7" x14ac:dyDescent="0.45">
      <c r="A785">
        <v>2023</v>
      </c>
      <c r="B785" t="s">
        <v>25</v>
      </c>
      <c r="C785">
        <v>93</v>
      </c>
      <c r="D785">
        <v>852</v>
      </c>
      <c r="E785" t="s">
        <v>221</v>
      </c>
      <c r="F785" t="s">
        <v>22</v>
      </c>
      <c r="G785">
        <v>368134</v>
      </c>
    </row>
    <row r="786" spans="1:7" x14ac:dyDescent="0.45">
      <c r="A786">
        <v>2024</v>
      </c>
      <c r="B786" t="s">
        <v>10</v>
      </c>
      <c r="C786">
        <v>413</v>
      </c>
      <c r="D786">
        <v>930</v>
      </c>
      <c r="E786" t="s">
        <v>221</v>
      </c>
      <c r="F786" t="s">
        <v>13</v>
      </c>
      <c r="G786">
        <v>427036</v>
      </c>
    </row>
    <row r="787" spans="1:7" x14ac:dyDescent="0.45">
      <c r="A787">
        <v>2022</v>
      </c>
      <c r="B787" t="s">
        <v>12</v>
      </c>
      <c r="C787">
        <v>168</v>
      </c>
      <c r="D787">
        <v>97</v>
      </c>
      <c r="E787" t="s">
        <v>221</v>
      </c>
      <c r="F787" t="s">
        <v>30</v>
      </c>
      <c r="G787">
        <v>1102130</v>
      </c>
    </row>
    <row r="788" spans="1:7" x14ac:dyDescent="0.45">
      <c r="A788">
        <v>2021</v>
      </c>
      <c r="B788" t="s">
        <v>12</v>
      </c>
      <c r="C788">
        <v>1000</v>
      </c>
      <c r="D788">
        <v>597</v>
      </c>
      <c r="E788" t="s">
        <v>221</v>
      </c>
      <c r="F788" t="s">
        <v>15</v>
      </c>
      <c r="G788">
        <v>304344</v>
      </c>
    </row>
    <row r="789" spans="1:7" x14ac:dyDescent="0.45">
      <c r="A789">
        <v>2022</v>
      </c>
      <c r="B789" t="s">
        <v>25</v>
      </c>
      <c r="C789">
        <v>839</v>
      </c>
      <c r="D789">
        <v>334</v>
      </c>
      <c r="E789" t="s">
        <v>222</v>
      </c>
      <c r="F789" t="s">
        <v>23</v>
      </c>
      <c r="G789">
        <v>819636</v>
      </c>
    </row>
    <row r="790" spans="1:7" x14ac:dyDescent="0.45">
      <c r="A790">
        <v>2021</v>
      </c>
      <c r="B790" t="s">
        <v>18</v>
      </c>
      <c r="C790">
        <v>386</v>
      </c>
      <c r="D790">
        <v>287</v>
      </c>
      <c r="E790" t="s">
        <v>222</v>
      </c>
      <c r="F790" t="s">
        <v>15</v>
      </c>
      <c r="G790">
        <v>430756</v>
      </c>
    </row>
    <row r="791" spans="1:7" x14ac:dyDescent="0.45">
      <c r="A791">
        <v>2023</v>
      </c>
      <c r="B791" t="s">
        <v>12</v>
      </c>
      <c r="C791">
        <v>168</v>
      </c>
      <c r="D791">
        <v>97</v>
      </c>
      <c r="E791" t="s">
        <v>222</v>
      </c>
      <c r="F791" t="s">
        <v>30</v>
      </c>
      <c r="G791">
        <v>521042</v>
      </c>
    </row>
    <row r="792" spans="1:7" x14ac:dyDescent="0.45">
      <c r="A792">
        <v>2024</v>
      </c>
      <c r="B792" t="s">
        <v>18</v>
      </c>
      <c r="C792">
        <v>577</v>
      </c>
      <c r="D792">
        <v>175</v>
      </c>
      <c r="E792" t="s">
        <v>223</v>
      </c>
      <c r="F792" t="s">
        <v>9</v>
      </c>
      <c r="G792">
        <v>1380748</v>
      </c>
    </row>
    <row r="793" spans="1:7" x14ac:dyDescent="0.45">
      <c r="A793">
        <v>2023</v>
      </c>
      <c r="B793" t="s">
        <v>18</v>
      </c>
      <c r="C793">
        <v>287</v>
      </c>
      <c r="D793">
        <v>744</v>
      </c>
      <c r="E793" t="s">
        <v>223</v>
      </c>
      <c r="F793" t="s">
        <v>23</v>
      </c>
      <c r="G793">
        <v>1113750</v>
      </c>
    </row>
    <row r="794" spans="1:7" x14ac:dyDescent="0.45">
      <c r="A794">
        <v>2024</v>
      </c>
      <c r="B794" t="s">
        <v>10</v>
      </c>
      <c r="C794">
        <v>784</v>
      </c>
      <c r="D794">
        <v>540</v>
      </c>
      <c r="E794" t="s">
        <v>223</v>
      </c>
      <c r="F794" t="s">
        <v>30</v>
      </c>
      <c r="G794">
        <v>701698</v>
      </c>
    </row>
    <row r="795" spans="1:7" x14ac:dyDescent="0.45">
      <c r="A795">
        <v>2024</v>
      </c>
      <c r="B795" t="s">
        <v>14</v>
      </c>
      <c r="C795">
        <v>568</v>
      </c>
      <c r="D795">
        <v>505</v>
      </c>
      <c r="E795" t="s">
        <v>223</v>
      </c>
      <c r="F795" t="s">
        <v>19</v>
      </c>
      <c r="G795">
        <v>1291950</v>
      </c>
    </row>
    <row r="796" spans="1:7" x14ac:dyDescent="0.45">
      <c r="A796">
        <v>2022</v>
      </c>
      <c r="B796" t="s">
        <v>14</v>
      </c>
      <c r="C796">
        <v>839</v>
      </c>
      <c r="D796">
        <v>983</v>
      </c>
      <c r="E796" t="s">
        <v>223</v>
      </c>
      <c r="F796" t="s">
        <v>22</v>
      </c>
      <c r="G796">
        <v>786367</v>
      </c>
    </row>
    <row r="797" spans="1:7" x14ac:dyDescent="0.45">
      <c r="A797">
        <v>2021</v>
      </c>
      <c r="B797" t="s">
        <v>14</v>
      </c>
      <c r="C797">
        <v>166</v>
      </c>
      <c r="D797">
        <v>934</v>
      </c>
      <c r="E797" t="s">
        <v>223</v>
      </c>
      <c r="F797" t="s">
        <v>9</v>
      </c>
      <c r="G797">
        <v>920759</v>
      </c>
    </row>
    <row r="798" spans="1:7" x14ac:dyDescent="0.45">
      <c r="A798">
        <v>2021</v>
      </c>
      <c r="B798" t="s">
        <v>25</v>
      </c>
      <c r="C798">
        <v>851</v>
      </c>
      <c r="D798">
        <v>162</v>
      </c>
      <c r="E798" t="s">
        <v>224</v>
      </c>
      <c r="F798" t="s">
        <v>23</v>
      </c>
      <c r="G798">
        <v>893809</v>
      </c>
    </row>
    <row r="799" spans="1:7" x14ac:dyDescent="0.45">
      <c r="A799">
        <v>2024</v>
      </c>
      <c r="B799" t="s">
        <v>18</v>
      </c>
      <c r="C799">
        <v>839</v>
      </c>
      <c r="D799">
        <v>334</v>
      </c>
      <c r="E799" t="s">
        <v>224</v>
      </c>
      <c r="F799" t="s">
        <v>19</v>
      </c>
      <c r="G799">
        <v>508120</v>
      </c>
    </row>
    <row r="800" spans="1:7" x14ac:dyDescent="0.45">
      <c r="A800">
        <v>2022</v>
      </c>
      <c r="B800" t="s">
        <v>10</v>
      </c>
      <c r="C800">
        <v>312</v>
      </c>
      <c r="D800">
        <v>983</v>
      </c>
      <c r="E800" t="s">
        <v>224</v>
      </c>
      <c r="F800" t="s">
        <v>30</v>
      </c>
      <c r="G800">
        <v>706171</v>
      </c>
    </row>
    <row r="801" spans="1:7" x14ac:dyDescent="0.45">
      <c r="A801">
        <v>2023</v>
      </c>
      <c r="B801" t="s">
        <v>28</v>
      </c>
      <c r="C801">
        <v>403</v>
      </c>
      <c r="D801">
        <v>953</v>
      </c>
      <c r="E801" t="s">
        <v>224</v>
      </c>
      <c r="F801" t="s">
        <v>13</v>
      </c>
      <c r="G801">
        <v>148080</v>
      </c>
    </row>
    <row r="802" spans="1:7" x14ac:dyDescent="0.45">
      <c r="A802">
        <v>2023</v>
      </c>
      <c r="B802" t="s">
        <v>18</v>
      </c>
      <c r="C802">
        <v>312</v>
      </c>
      <c r="D802">
        <v>983</v>
      </c>
      <c r="E802" t="s">
        <v>225</v>
      </c>
      <c r="F802" t="s">
        <v>9</v>
      </c>
      <c r="G802">
        <v>564318</v>
      </c>
    </row>
    <row r="803" spans="1:7" x14ac:dyDescent="0.45">
      <c r="A803">
        <v>2024</v>
      </c>
      <c r="B803" t="s">
        <v>10</v>
      </c>
      <c r="C803">
        <v>403</v>
      </c>
      <c r="D803">
        <v>953</v>
      </c>
      <c r="E803" t="s">
        <v>225</v>
      </c>
      <c r="F803" t="s">
        <v>13</v>
      </c>
      <c r="G803">
        <v>654609</v>
      </c>
    </row>
    <row r="804" spans="1:7" x14ac:dyDescent="0.45">
      <c r="A804">
        <v>2022</v>
      </c>
      <c r="B804" t="s">
        <v>27</v>
      </c>
      <c r="C804">
        <v>93</v>
      </c>
      <c r="D804">
        <v>852</v>
      </c>
      <c r="E804" t="s">
        <v>225</v>
      </c>
      <c r="F804" t="s">
        <v>11</v>
      </c>
      <c r="G804">
        <v>181082</v>
      </c>
    </row>
    <row r="805" spans="1:7" x14ac:dyDescent="0.45">
      <c r="A805">
        <v>2021</v>
      </c>
      <c r="B805" t="s">
        <v>28</v>
      </c>
      <c r="C805">
        <v>98</v>
      </c>
      <c r="D805">
        <v>968</v>
      </c>
      <c r="E805" t="s">
        <v>225</v>
      </c>
      <c r="F805" t="s">
        <v>9</v>
      </c>
      <c r="G805">
        <v>466533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3491-3E0B-4152-9952-4F9B07DEC8BD}">
  <sheetPr>
    <tabColor theme="4" tint="0.59999389629810485"/>
  </sheetPr>
  <dimension ref="A3:M26"/>
  <sheetViews>
    <sheetView workbookViewId="0">
      <selection activeCell="G19" sqref="G19"/>
    </sheetView>
  </sheetViews>
  <sheetFormatPr defaultRowHeight="14.25" x14ac:dyDescent="0.45"/>
  <cols>
    <col min="1" max="1" width="11.9296875" bestFit="1" customWidth="1"/>
    <col min="2" max="2" width="14.9296875" bestFit="1" customWidth="1"/>
    <col min="3" max="3" width="10.46484375" bestFit="1" customWidth="1"/>
    <col min="4" max="4" width="11.9296875" bestFit="1" customWidth="1"/>
    <col min="5" max="5" width="12.33203125" bestFit="1" customWidth="1"/>
    <col min="6" max="6" width="10.46484375" bestFit="1" customWidth="1"/>
    <col min="7" max="7" width="12.33203125" bestFit="1" customWidth="1"/>
    <col min="8" max="8" width="11.9296875" bestFit="1" customWidth="1"/>
    <col min="9" max="10" width="13.3984375" bestFit="1" customWidth="1"/>
    <col min="11" max="11" width="12.6640625" bestFit="1" customWidth="1"/>
    <col min="12" max="12" width="10.46484375" bestFit="1" customWidth="1"/>
    <col min="13" max="13" width="17.06640625" bestFit="1" customWidth="1"/>
    <col min="14" max="14" width="12.06640625" bestFit="1" customWidth="1"/>
    <col min="15" max="15" width="10" bestFit="1" customWidth="1"/>
    <col min="17" max="17" width="11.9296875" bestFit="1" customWidth="1"/>
    <col min="18" max="18" width="10.46484375" bestFit="1" customWidth="1"/>
  </cols>
  <sheetData>
    <row r="3" spans="1:13" x14ac:dyDescent="0.45">
      <c r="A3" s="2" t="s">
        <v>226</v>
      </c>
      <c r="B3" t="s">
        <v>228</v>
      </c>
      <c r="D3" s="2" t="s">
        <v>226</v>
      </c>
      <c r="E3" t="s">
        <v>230</v>
      </c>
      <c r="F3" t="s">
        <v>229</v>
      </c>
      <c r="H3" s="2" t="s">
        <v>226</v>
      </c>
      <c r="I3" t="s">
        <v>228</v>
      </c>
      <c r="K3" s="2" t="s">
        <v>226</v>
      </c>
      <c r="L3" t="s">
        <v>229</v>
      </c>
    </row>
    <row r="4" spans="1:13" x14ac:dyDescent="0.45">
      <c r="A4" s="3">
        <v>2021</v>
      </c>
      <c r="B4" s="4">
        <v>96776472</v>
      </c>
      <c r="D4" s="3">
        <v>2021</v>
      </c>
      <c r="E4">
        <v>108120</v>
      </c>
      <c r="F4">
        <v>108094</v>
      </c>
      <c r="H4" s="3" t="s">
        <v>7</v>
      </c>
      <c r="I4" s="5">
        <v>38967786</v>
      </c>
      <c r="K4" s="3" t="s">
        <v>7</v>
      </c>
      <c r="L4">
        <v>43679</v>
      </c>
    </row>
    <row r="5" spans="1:13" x14ac:dyDescent="0.45">
      <c r="A5" s="3">
        <v>2022</v>
      </c>
      <c r="B5" s="4">
        <v>108753258</v>
      </c>
      <c r="D5" s="3">
        <v>2022</v>
      </c>
      <c r="E5">
        <v>118923</v>
      </c>
      <c r="F5">
        <v>112704</v>
      </c>
      <c r="H5" s="3" t="s">
        <v>25</v>
      </c>
      <c r="I5" s="5">
        <v>72576757</v>
      </c>
      <c r="K5" s="3" t="s">
        <v>25</v>
      </c>
      <c r="L5">
        <v>58789</v>
      </c>
    </row>
    <row r="6" spans="1:13" x14ac:dyDescent="0.45">
      <c r="A6" s="3">
        <v>2023</v>
      </c>
      <c r="B6" s="4">
        <v>111014232</v>
      </c>
      <c r="D6" s="3">
        <v>2023</v>
      </c>
      <c r="E6">
        <v>117691</v>
      </c>
      <c r="F6">
        <v>112445</v>
      </c>
      <c r="H6" s="3" t="s">
        <v>27</v>
      </c>
      <c r="I6" s="5">
        <v>37717662</v>
      </c>
      <c r="K6" s="3" t="s">
        <v>27</v>
      </c>
      <c r="L6">
        <v>41414</v>
      </c>
    </row>
    <row r="7" spans="1:13" x14ac:dyDescent="0.45">
      <c r="A7" s="3">
        <v>2024</v>
      </c>
      <c r="B7" s="4">
        <v>165339896</v>
      </c>
      <c r="D7" s="3">
        <v>2024</v>
      </c>
      <c r="E7">
        <v>118722</v>
      </c>
      <c r="F7">
        <v>115489</v>
      </c>
      <c r="H7" s="3" t="s">
        <v>28</v>
      </c>
      <c r="I7" s="5">
        <v>57629493</v>
      </c>
      <c r="K7" s="3" t="s">
        <v>28</v>
      </c>
      <c r="L7">
        <v>51017</v>
      </c>
    </row>
    <row r="8" spans="1:13" x14ac:dyDescent="0.45">
      <c r="A8" s="3" t="s">
        <v>227</v>
      </c>
      <c r="B8" s="4">
        <v>481883858</v>
      </c>
      <c r="D8" s="3" t="s">
        <v>227</v>
      </c>
      <c r="E8">
        <v>463456</v>
      </c>
      <c r="F8">
        <v>448732</v>
      </c>
      <c r="H8" s="3" t="s">
        <v>10</v>
      </c>
      <c r="I8" s="5">
        <v>42580986</v>
      </c>
      <c r="K8" s="3" t="s">
        <v>10</v>
      </c>
      <c r="L8">
        <v>37434</v>
      </c>
    </row>
    <row r="9" spans="1:13" x14ac:dyDescent="0.45">
      <c r="H9" s="3" t="s">
        <v>12</v>
      </c>
      <c r="I9" s="5">
        <v>64865878</v>
      </c>
      <c r="K9" s="3" t="s">
        <v>12</v>
      </c>
      <c r="L9">
        <v>55905</v>
      </c>
    </row>
    <row r="10" spans="1:13" x14ac:dyDescent="0.45">
      <c r="H10" s="3" t="s">
        <v>14</v>
      </c>
      <c r="I10" s="5">
        <v>73995198</v>
      </c>
      <c r="K10" s="3" t="s">
        <v>14</v>
      </c>
      <c r="L10">
        <v>59480</v>
      </c>
    </row>
    <row r="11" spans="1:13" x14ac:dyDescent="0.45">
      <c r="A11" s="2" t="s">
        <v>226</v>
      </c>
      <c r="B11" t="s">
        <v>228</v>
      </c>
      <c r="D11" s="2" t="s">
        <v>226</v>
      </c>
      <c r="E11" t="s">
        <v>228</v>
      </c>
      <c r="H11" s="3" t="s">
        <v>16</v>
      </c>
      <c r="I11" s="5">
        <v>27231268</v>
      </c>
      <c r="K11" s="3" t="s">
        <v>16</v>
      </c>
      <c r="L11">
        <v>32019</v>
      </c>
    </row>
    <row r="12" spans="1:13" x14ac:dyDescent="0.45">
      <c r="A12" s="3" t="s">
        <v>9</v>
      </c>
      <c r="B12" s="5">
        <v>47264171</v>
      </c>
      <c r="D12" s="3" t="s">
        <v>187</v>
      </c>
      <c r="E12" s="5">
        <v>5996731</v>
      </c>
      <c r="H12" s="3" t="s">
        <v>18</v>
      </c>
      <c r="I12" s="5">
        <v>37042006</v>
      </c>
      <c r="K12" s="3" t="s">
        <v>18</v>
      </c>
      <c r="L12">
        <v>37544</v>
      </c>
    </row>
    <row r="13" spans="1:13" x14ac:dyDescent="0.45">
      <c r="A13" s="3" t="s">
        <v>23</v>
      </c>
      <c r="B13" s="5">
        <v>38777655</v>
      </c>
      <c r="D13" s="3" t="s">
        <v>223</v>
      </c>
      <c r="E13" s="5">
        <v>6195272</v>
      </c>
      <c r="H13" s="3" t="s">
        <v>20</v>
      </c>
      <c r="I13" s="5">
        <v>29276824</v>
      </c>
      <c r="K13" s="3" t="s">
        <v>20</v>
      </c>
      <c r="L13">
        <v>31451</v>
      </c>
    </row>
    <row r="14" spans="1:13" x14ac:dyDescent="0.45">
      <c r="A14" s="3" t="s">
        <v>11</v>
      </c>
      <c r="B14" s="5">
        <v>71503397</v>
      </c>
      <c r="D14" s="3" t="s">
        <v>79</v>
      </c>
      <c r="E14" s="5">
        <v>8986644</v>
      </c>
      <c r="H14" s="3" t="s">
        <v>227</v>
      </c>
      <c r="I14" s="5">
        <v>481883858</v>
      </c>
      <c r="K14" s="3" t="s">
        <v>227</v>
      </c>
      <c r="L14">
        <v>448732</v>
      </c>
    </row>
    <row r="15" spans="1:13" x14ac:dyDescent="0.45">
      <c r="A15" s="3" t="s">
        <v>30</v>
      </c>
      <c r="B15" s="5">
        <v>55340564</v>
      </c>
      <c r="D15" s="3" t="s">
        <v>108</v>
      </c>
      <c r="E15" s="5">
        <v>5991921</v>
      </c>
    </row>
    <row r="16" spans="1:13" x14ac:dyDescent="0.45">
      <c r="A16" s="3" t="s">
        <v>13</v>
      </c>
      <c r="B16" s="5">
        <v>32889094</v>
      </c>
      <c r="D16" s="3" t="s">
        <v>116</v>
      </c>
      <c r="E16" s="5">
        <v>10803852</v>
      </c>
      <c r="H16" s="2" t="s">
        <v>226</v>
      </c>
      <c r="I16" t="s">
        <v>229</v>
      </c>
      <c r="K16" t="s">
        <v>228</v>
      </c>
      <c r="M16" t="s">
        <v>231</v>
      </c>
    </row>
    <row r="17" spans="1:13" x14ac:dyDescent="0.45">
      <c r="A17" s="3" t="s">
        <v>34</v>
      </c>
      <c r="B17" s="5">
        <v>59140400</v>
      </c>
      <c r="D17" s="3" t="s">
        <v>227</v>
      </c>
      <c r="E17" s="5">
        <v>37974420</v>
      </c>
      <c r="H17" s="3" t="s">
        <v>30</v>
      </c>
      <c r="I17">
        <v>47805</v>
      </c>
      <c r="K17" s="6">
        <v>481883858</v>
      </c>
      <c r="M17" s="6">
        <v>599358.0323383084</v>
      </c>
    </row>
    <row r="18" spans="1:13" x14ac:dyDescent="0.45">
      <c r="A18" s="3" t="s">
        <v>15</v>
      </c>
      <c r="B18" s="5">
        <v>68979383</v>
      </c>
      <c r="H18" s="3" t="s">
        <v>9</v>
      </c>
      <c r="I18">
        <v>47131</v>
      </c>
      <c r="K18" s="6">
        <f>GETPIVOTDATA("[Measures].[Total Sales]",$K$16)</f>
        <v>481883858</v>
      </c>
      <c r="M18" s="6">
        <f>GETPIVOTDATA("[Measures].[Average Order Value]",$M$16)</f>
        <v>599358.0323383084</v>
      </c>
    </row>
    <row r="19" spans="1:13" x14ac:dyDescent="0.45">
      <c r="A19" s="3" t="s">
        <v>19</v>
      </c>
      <c r="B19" s="5">
        <v>69405174</v>
      </c>
      <c r="D19" s="2" t="s">
        <v>226</v>
      </c>
      <c r="E19" t="s">
        <v>229</v>
      </c>
      <c r="H19" s="3" t="s">
        <v>23</v>
      </c>
      <c r="I19">
        <v>34914</v>
      </c>
      <c r="K19" s="6"/>
    </row>
    <row r="20" spans="1:13" x14ac:dyDescent="0.45">
      <c r="A20" s="3" t="s">
        <v>22</v>
      </c>
      <c r="B20" s="5">
        <v>38584020</v>
      </c>
      <c r="D20" s="3" t="s">
        <v>151</v>
      </c>
      <c r="E20">
        <v>4409</v>
      </c>
      <c r="H20" s="3" t="s">
        <v>11</v>
      </c>
      <c r="I20">
        <v>70807</v>
      </c>
      <c r="K20" t="s">
        <v>229</v>
      </c>
    </row>
    <row r="21" spans="1:13" x14ac:dyDescent="0.45">
      <c r="A21" s="3" t="s">
        <v>227</v>
      </c>
      <c r="B21" s="5">
        <v>481883858</v>
      </c>
      <c r="D21" s="3" t="s">
        <v>183</v>
      </c>
      <c r="E21">
        <v>4301</v>
      </c>
      <c r="H21" s="3" t="s">
        <v>13</v>
      </c>
      <c r="I21">
        <v>45017</v>
      </c>
      <c r="K21" s="7">
        <v>448732</v>
      </c>
    </row>
    <row r="22" spans="1:13" x14ac:dyDescent="0.45">
      <c r="D22" s="3" t="s">
        <v>65</v>
      </c>
      <c r="E22">
        <v>4225</v>
      </c>
      <c r="H22" s="3" t="s">
        <v>34</v>
      </c>
      <c r="I22">
        <v>46418</v>
      </c>
      <c r="K22" s="8">
        <f>GETPIVOTDATA("[Measures].[Sum of Orders]",$K$20)</f>
        <v>448732</v>
      </c>
    </row>
    <row r="23" spans="1:13" x14ac:dyDescent="0.45">
      <c r="D23" s="3" t="s">
        <v>26</v>
      </c>
      <c r="E23">
        <v>4454</v>
      </c>
      <c r="H23" s="3" t="s">
        <v>15</v>
      </c>
      <c r="I23">
        <v>61326</v>
      </c>
    </row>
    <row r="24" spans="1:13" x14ac:dyDescent="0.45">
      <c r="D24" s="3" t="s">
        <v>116</v>
      </c>
      <c r="E24">
        <v>7284</v>
      </c>
      <c r="H24" s="3" t="s">
        <v>19</v>
      </c>
      <c r="I24">
        <v>56629</v>
      </c>
    </row>
    <row r="25" spans="1:13" x14ac:dyDescent="0.45">
      <c r="D25" s="3" t="s">
        <v>227</v>
      </c>
      <c r="E25">
        <v>24673</v>
      </c>
      <c r="H25" s="3" t="s">
        <v>22</v>
      </c>
      <c r="I25">
        <v>38685</v>
      </c>
    </row>
    <row r="26" spans="1:13" x14ac:dyDescent="0.45">
      <c r="H26" s="3" t="s">
        <v>227</v>
      </c>
      <c r="I26">
        <v>448732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5C01-AB81-4998-861F-9CDC62AE078F}">
  <sheetPr>
    <tabColor theme="0" tint="-0.14999847407452621"/>
  </sheetPr>
  <dimension ref="N16"/>
  <sheetViews>
    <sheetView showGridLines="0" zoomScale="79" workbookViewId="0">
      <selection activeCell="N15" sqref="N15"/>
    </sheetView>
  </sheetViews>
  <sheetFormatPr defaultRowHeight="14.25" x14ac:dyDescent="0.45"/>
  <cols>
    <col min="1" max="16384" width="9.06640625" style="1"/>
  </cols>
  <sheetData>
    <row r="16" spans="14:14" x14ac:dyDescent="0.45">
      <c r="N1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1F4C6-3B76-4650-A6ED-379EBB460E86}">
  <sheetPr>
    <tabColor theme="0" tint="-0.14999847407452621"/>
  </sheetPr>
  <dimension ref="A1"/>
  <sheetViews>
    <sheetView zoomScale="78" zoomScaleNormal="78" workbookViewId="0">
      <selection activeCell="N27" sqref="N27"/>
    </sheetView>
  </sheetViews>
  <sheetFormatPr defaultRowHeight="14.25" x14ac:dyDescent="0.45"/>
  <cols>
    <col min="1" max="16384" width="9.066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F0A3-3C09-4474-9551-90959F4BC483}">
  <sheetPr>
    <tabColor theme="0" tint="-0.14999847407452621"/>
  </sheetPr>
  <dimension ref="A1:J51"/>
  <sheetViews>
    <sheetView showGridLines="0" tabSelected="1" zoomScale="87" workbookViewId="0">
      <selection activeCell="G5" sqref="G5"/>
    </sheetView>
  </sheetViews>
  <sheetFormatPr defaultRowHeight="15.75" x14ac:dyDescent="0.5"/>
  <cols>
    <col min="1" max="1" width="37.19921875" style="11" customWidth="1"/>
    <col min="2" max="2" width="27.59765625" style="1" customWidth="1"/>
    <col min="3" max="3" width="24.19921875" style="1" customWidth="1"/>
    <col min="4" max="4" width="15.86328125" style="1" customWidth="1"/>
    <col min="5" max="5" width="28.6640625" style="1" bestFit="1" customWidth="1"/>
    <col min="6" max="6" width="24.46484375" style="1" customWidth="1"/>
    <col min="7" max="7" width="22.3984375" style="1" customWidth="1"/>
    <col min="8" max="8" width="34.33203125" style="1" customWidth="1"/>
    <col min="9" max="9" width="22.33203125" style="1" bestFit="1" customWidth="1"/>
    <col min="10" max="10" width="18.1328125" style="1" bestFit="1" customWidth="1"/>
    <col min="11" max="16384" width="9.06640625" style="1"/>
  </cols>
  <sheetData>
    <row r="1" spans="1:6" x14ac:dyDescent="0.5">
      <c r="D1" s="10"/>
      <c r="E1" s="10"/>
    </row>
    <row r="2" spans="1:6" x14ac:dyDescent="0.5">
      <c r="D2" s="10"/>
      <c r="E2" s="10"/>
    </row>
    <row r="3" spans="1:6" x14ac:dyDescent="0.5">
      <c r="D3" s="10"/>
      <c r="E3" s="10"/>
    </row>
    <row r="4" spans="1:6" x14ac:dyDescent="0.5">
      <c r="D4" s="10"/>
      <c r="E4" s="10"/>
    </row>
    <row r="5" spans="1:6" x14ac:dyDescent="0.5">
      <c r="D5" s="10"/>
      <c r="E5" s="10"/>
    </row>
    <row r="6" spans="1:6" ht="29.25" x14ac:dyDescent="0.9">
      <c r="A6" s="32" t="s">
        <v>261</v>
      </c>
      <c r="D6" s="10"/>
      <c r="E6" s="10"/>
    </row>
    <row r="7" spans="1:6" ht="21" x14ac:dyDescent="0.65">
      <c r="A7" s="33" t="s">
        <v>262</v>
      </c>
      <c r="B7" s="33"/>
      <c r="C7" s="33"/>
      <c r="D7" s="33"/>
      <c r="E7" s="33"/>
      <c r="F7" s="33"/>
    </row>
    <row r="8" spans="1:6" x14ac:dyDescent="0.5">
      <c r="D8" s="10"/>
      <c r="E8" s="10"/>
    </row>
    <row r="9" spans="1:6" x14ac:dyDescent="0.5">
      <c r="D9" s="10"/>
      <c r="E9" s="10"/>
    </row>
    <row r="10" spans="1:6" ht="29.25" x14ac:dyDescent="0.9">
      <c r="A10" s="32" t="s">
        <v>263</v>
      </c>
      <c r="D10" s="10"/>
      <c r="E10" s="10"/>
    </row>
    <row r="11" spans="1:6" ht="21" x14ac:dyDescent="0.65">
      <c r="A11" s="33" t="s">
        <v>264</v>
      </c>
      <c r="B11" s="33"/>
      <c r="C11" s="33"/>
      <c r="D11" s="10"/>
      <c r="E11" s="10"/>
    </row>
    <row r="12" spans="1:6" x14ac:dyDescent="0.5">
      <c r="D12" s="10"/>
      <c r="E12" s="10"/>
    </row>
    <row r="13" spans="1:6" x14ac:dyDescent="0.5">
      <c r="D13" s="10"/>
      <c r="E13" s="10"/>
    </row>
    <row r="14" spans="1:6" ht="29.25" x14ac:dyDescent="0.9">
      <c r="A14" s="32" t="s">
        <v>265</v>
      </c>
      <c r="D14" s="10"/>
      <c r="E14" s="10"/>
    </row>
    <row r="15" spans="1:6" ht="21" x14ac:dyDescent="0.65">
      <c r="A15" s="17" t="s">
        <v>266</v>
      </c>
      <c r="B15" s="17"/>
      <c r="C15" s="17"/>
      <c r="D15" s="17"/>
      <c r="E15" s="17"/>
    </row>
    <row r="16" spans="1:6" x14ac:dyDescent="0.5">
      <c r="D16" s="10"/>
      <c r="E16" s="10"/>
    </row>
    <row r="17" spans="1:10" x14ac:dyDescent="0.5">
      <c r="D17" s="10"/>
      <c r="E17" s="10"/>
    </row>
    <row r="18" spans="1:10" ht="23.25" x14ac:dyDescent="0.7">
      <c r="A18" s="16" t="s">
        <v>228</v>
      </c>
      <c r="B18" s="35">
        <f>GETPIVOTDATA("[Measures].[Sum of Sales]",'Pivot Tables'!$A$3)</f>
        <v>481883858</v>
      </c>
      <c r="C18" s="16" t="s">
        <v>229</v>
      </c>
      <c r="D18" s="18">
        <f>GETPIVOTDATA("[Measures].[Sum of Orders]",'Pivot Tables'!$D$3)</f>
        <v>448732</v>
      </c>
      <c r="F18" s="16" t="s">
        <v>232</v>
      </c>
      <c r="G18" s="34">
        <f>GETPIVOTDATA("[Measures].[Average Order Value]",'Pivot Tables'!$M$16)</f>
        <v>599358.0323383084</v>
      </c>
    </row>
    <row r="19" spans="1:10" x14ac:dyDescent="0.5">
      <c r="D19" s="10"/>
      <c r="E19" s="10"/>
    </row>
    <row r="20" spans="1:10" ht="21" x14ac:dyDescent="0.65">
      <c r="B20" s="31" t="s">
        <v>256</v>
      </c>
      <c r="C20" s="31"/>
      <c r="D20" s="31"/>
      <c r="E20" s="31"/>
      <c r="F20" s="31"/>
    </row>
    <row r="21" spans="1:10" x14ac:dyDescent="0.5">
      <c r="D21" s="10"/>
      <c r="E21" s="10"/>
    </row>
    <row r="22" spans="1:10" x14ac:dyDescent="0.5">
      <c r="D22" s="10"/>
      <c r="E22" s="10"/>
    </row>
    <row r="23" spans="1:10" ht="23.25" x14ac:dyDescent="0.7">
      <c r="A23" s="16" t="s">
        <v>233</v>
      </c>
      <c r="B23" s="19">
        <f>GETPIVOTDATA("[Measures].[Sum of Sales]",'Pivot Tables'!$A$3,"[Table1_1].[Year]","[Table1_1].[Year].&amp;[2024]")</f>
        <v>165339896</v>
      </c>
      <c r="D23" s="16" t="s">
        <v>234</v>
      </c>
      <c r="E23" s="22">
        <f>GETPIVOTDATA("[Measures].[Sum of Orders]",'Pivot Tables'!$D$3,"[Table1_1].[Year]","[Table1_1].[Year].&amp;[2024]")</f>
        <v>115489</v>
      </c>
      <c r="G23" s="16" t="s">
        <v>235</v>
      </c>
      <c r="H23" s="19">
        <f>GETPIVOTDATA("[Measures].[Sum of Sales]",'Pivot Tables'!$D$11,"[Table1_1].[Customer Id]","[Table1_1].[Customer Id].&amp;[C162]")</f>
        <v>5996731</v>
      </c>
    </row>
    <row r="24" spans="1:10" ht="23.25" x14ac:dyDescent="0.7">
      <c r="A24" s="1"/>
      <c r="D24" s="10"/>
      <c r="G24" s="16" t="s">
        <v>236</v>
      </c>
      <c r="H24" s="36">
        <f>GETPIVOTDATA("[Measures].[Sum of Orders]",'Pivot Tables'!$D$19,"[Table1_1].[Customer Id]","[Table1_1].[Customer Id].&amp;[C126]")</f>
        <v>4409</v>
      </c>
    </row>
    <row r="25" spans="1:10" ht="21" x14ac:dyDescent="0.65">
      <c r="A25" s="15"/>
      <c r="I25" s="14"/>
      <c r="J25" s="12"/>
    </row>
    <row r="26" spans="1:10" ht="23.25" x14ac:dyDescent="0.65">
      <c r="A26" s="17" t="s">
        <v>237</v>
      </c>
      <c r="B26" s="23">
        <f>GETPIVOTDATA("[Measures].[Sum of Sales]",'Pivot Tables'!$A$11,"[Table1_1].[Product]","[Table1_1].[Product].&amp;[P2]")</f>
        <v>71503397</v>
      </c>
      <c r="F26" s="21">
        <v>2021</v>
      </c>
      <c r="G26" s="21">
        <v>2022</v>
      </c>
      <c r="H26" s="21">
        <v>2023</v>
      </c>
      <c r="I26" s="21">
        <v>2024</v>
      </c>
      <c r="J26" s="12"/>
    </row>
    <row r="27" spans="1:10" ht="23.25" x14ac:dyDescent="0.7">
      <c r="A27" s="17" t="s">
        <v>238</v>
      </c>
      <c r="B27" s="22">
        <f>GETPIVOTDATA("[Measures].[Sum of Orders]",'Pivot Tables'!$H$16,"[Table1_1].[Product]","[Table1_1].[Product].&amp;[P2]")</f>
        <v>70807</v>
      </c>
      <c r="F27" s="16" t="s">
        <v>239</v>
      </c>
      <c r="G27" s="24">
        <f>GETPIVOTDATA("[Measures].[Sum of Orders]",'Pivot Tables'!$D$3,"[Table1_1].[Year]","[Table1_1].[Year].&amp;[2022]")/GETPIVOTDATA("[Measures].[Sum of Offers]",'Pivot Tables'!$D$3,"[Table1_1].[Year]","[Table1_1].[Year].&amp;[2022]")*100</f>
        <v>94.770565828309074</v>
      </c>
      <c r="H27" s="24">
        <f>GETPIVOTDATA("[Measures].[Sum of Orders]",'Pivot Tables'!$D$3,"[Table1_1].[Year]","[Table1_1].[Year].&amp;[2023]")/GETPIVOTDATA("[Measures].[Sum of Offers]",'Pivot Tables'!$D$3,"[Table1_1].[Year]","[Table1_1].[Year].&amp;[2023]")*100</f>
        <v>95.542564852027766</v>
      </c>
      <c r="I27" s="24">
        <f>GETPIVOTDATA("[Measures].[Sum of Orders]",'Pivot Tables'!$D$3,"[Table1_1].[Year]","[Table1_1].[Year].&amp;[2024]")/GETPIVOTDATA("[Measures].[Sum of Offers]",'Pivot Tables'!$D$3,"[Table1_1].[Year]","[Table1_1].[Year].&amp;[2024]")*100</f>
        <v>97.276831589764328</v>
      </c>
      <c r="J27" s="10"/>
    </row>
    <row r="28" spans="1:10" ht="21" x14ac:dyDescent="0.65">
      <c r="F28" s="20" t="s">
        <v>240</v>
      </c>
      <c r="G28" s="20"/>
      <c r="H28" s="25"/>
      <c r="I28" s="13"/>
    </row>
    <row r="30" spans="1:10" ht="21" x14ac:dyDescent="0.65">
      <c r="A30" s="26" t="s">
        <v>241</v>
      </c>
    </row>
    <row r="31" spans="1:10" ht="23.25" x14ac:dyDescent="0.7">
      <c r="A31" s="18" t="s">
        <v>242</v>
      </c>
    </row>
    <row r="32" spans="1:10" ht="23.25" x14ac:dyDescent="0.7">
      <c r="A32" s="18" t="s">
        <v>243</v>
      </c>
    </row>
    <row r="33" spans="1:7" ht="21" x14ac:dyDescent="0.65">
      <c r="A33" s="30" t="s">
        <v>244</v>
      </c>
      <c r="B33" s="30"/>
      <c r="C33" s="30"/>
      <c r="D33" s="30"/>
    </row>
    <row r="34" spans="1:7" ht="14.25" x14ac:dyDescent="0.45">
      <c r="A34" s="1"/>
    </row>
    <row r="35" spans="1:7" ht="14.25" x14ac:dyDescent="0.45">
      <c r="A35" s="1"/>
    </row>
    <row r="36" spans="1:7" ht="21" x14ac:dyDescent="0.65">
      <c r="A36" s="27" t="s">
        <v>245</v>
      </c>
      <c r="E36" s="27" t="s">
        <v>249</v>
      </c>
    </row>
    <row r="37" spans="1:7" ht="15.75" customHeight="1" x14ac:dyDescent="0.65">
      <c r="A37" s="17" t="s">
        <v>246</v>
      </c>
      <c r="E37" s="17" t="s">
        <v>250</v>
      </c>
    </row>
    <row r="38" spans="1:7" ht="15.75" customHeight="1" x14ac:dyDescent="0.65">
      <c r="A38" s="17" t="s">
        <v>247</v>
      </c>
      <c r="E38" s="17" t="s">
        <v>251</v>
      </c>
    </row>
    <row r="39" spans="1:7" ht="21" x14ac:dyDescent="0.65">
      <c r="A39" s="20" t="s">
        <v>248</v>
      </c>
      <c r="B39" s="20"/>
      <c r="E39" s="30" t="s">
        <v>252</v>
      </c>
      <c r="F39" s="30"/>
      <c r="G39" s="30"/>
    </row>
    <row r="40" spans="1:7" ht="21" x14ac:dyDescent="0.65">
      <c r="A40" s="1"/>
      <c r="E40" s="30" t="s">
        <v>253</v>
      </c>
      <c r="F40" s="30"/>
      <c r="G40" s="30"/>
    </row>
    <row r="41" spans="1:7" ht="14.25" x14ac:dyDescent="0.45">
      <c r="A41" s="1"/>
    </row>
    <row r="42" spans="1:7" ht="14.25" x14ac:dyDescent="0.45">
      <c r="A42" s="1"/>
    </row>
    <row r="43" spans="1:7" ht="23.25" x14ac:dyDescent="0.7">
      <c r="A43" s="28" t="s">
        <v>254</v>
      </c>
    </row>
    <row r="44" spans="1:7" ht="23.25" x14ac:dyDescent="0.7">
      <c r="A44" s="18" t="s">
        <v>257</v>
      </c>
      <c r="B44" s="18"/>
      <c r="C44" s="11"/>
    </row>
    <row r="45" spans="1:7" ht="23.25" x14ac:dyDescent="0.7">
      <c r="A45" s="29" t="s">
        <v>258</v>
      </c>
      <c r="B45" s="18"/>
      <c r="C45" s="11"/>
    </row>
    <row r="46" spans="1:7" ht="23.25" x14ac:dyDescent="0.7">
      <c r="A46" s="18" t="s">
        <v>259</v>
      </c>
      <c r="B46" s="18"/>
      <c r="C46" s="11"/>
    </row>
    <row r="47" spans="1:7" ht="23.25" x14ac:dyDescent="0.7">
      <c r="A47" s="18" t="s">
        <v>260</v>
      </c>
      <c r="B47" s="18"/>
      <c r="C47" s="11"/>
    </row>
    <row r="48" spans="1:7" ht="23.25" x14ac:dyDescent="0.7">
      <c r="A48" s="18" t="s">
        <v>255</v>
      </c>
      <c r="B48" s="18"/>
      <c r="C48" s="11"/>
    </row>
    <row r="49" spans="1:1" ht="14.25" x14ac:dyDescent="0.45">
      <c r="A49" s="1"/>
    </row>
    <row r="50" spans="1:1" ht="14.25" x14ac:dyDescent="0.45">
      <c r="A50" s="1"/>
    </row>
    <row r="51" spans="1:1" ht="14.25" x14ac:dyDescent="0.45">
      <c r="A51" s="1"/>
    </row>
  </sheetData>
  <mergeCells count="6">
    <mergeCell ref="A33:D33"/>
    <mergeCell ref="E39:G39"/>
    <mergeCell ref="E40:G40"/>
    <mergeCell ref="B20:F20"/>
    <mergeCell ref="A7:F7"/>
    <mergeCell ref="A11:C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1163125-6163-4552-8CDF-D4C45060EDE2}">
  <ds:schemaRefs/>
</ds:datastoreItem>
</file>

<file path=customXml/itemProps2.xml><?xml version="1.0" encoding="utf-8"?>
<ds:datastoreItem xmlns:ds="http://schemas.openxmlformats.org/officeDocument/2006/customXml" ds:itemID="{4F1F3F8E-9190-406D-9E81-0E2235363245}">
  <ds:schemaRefs/>
</ds:datastoreItem>
</file>

<file path=customXml/itemProps3.xml><?xml version="1.0" encoding="utf-8"?>
<ds:datastoreItem xmlns:ds="http://schemas.openxmlformats.org/officeDocument/2006/customXml" ds:itemID="{E73E7905-9DBA-4EBB-A7CB-E9DA307860E6}">
  <ds:schemaRefs/>
</ds:datastoreItem>
</file>

<file path=customXml/itemProps4.xml><?xml version="1.0" encoding="utf-8"?>
<ds:datastoreItem xmlns:ds="http://schemas.openxmlformats.org/officeDocument/2006/customXml" ds:itemID="{3D3D7834-646F-43DC-9DFC-AB46DAA4542D}">
  <ds:schemaRefs/>
</ds:datastoreItem>
</file>

<file path=customXml/itemProps5.xml><?xml version="1.0" encoding="utf-8"?>
<ds:datastoreItem xmlns:ds="http://schemas.openxmlformats.org/officeDocument/2006/customXml" ds:itemID="{94B57EC6-AE0C-4625-B9AA-8D5E9C66394F}">
  <ds:schemaRefs/>
</ds:datastoreItem>
</file>

<file path=customXml/itemProps6.xml><?xml version="1.0" encoding="utf-8"?>
<ds:datastoreItem xmlns:ds="http://schemas.openxmlformats.org/officeDocument/2006/customXml" ds:itemID="{24045D96-D430-43CD-8CBC-F31584D97C9D}">
  <ds:schemaRefs/>
</ds:datastoreItem>
</file>

<file path=customXml/itemProps7.xml><?xml version="1.0" encoding="utf-8"?>
<ds:datastoreItem xmlns:ds="http://schemas.openxmlformats.org/officeDocument/2006/customXml" ds:itemID="{785B7856-71D5-4A88-8E4A-57927DD1DDD7}">
  <ds:schemaRefs>
    <ds:schemaRef ds:uri="http://schemas.microsoft.com/DataMashup"/>
  </ds:schemaRefs>
</ds:datastoreItem>
</file>

<file path=customXml/itemProps8.xml><?xml version="1.0" encoding="utf-8"?>
<ds:datastoreItem xmlns:ds="http://schemas.openxmlformats.org/officeDocument/2006/customXml" ds:itemID="{4105A6FF-1F04-4B55-B429-98297173C596}">
  <ds:schemaRefs/>
</ds:datastoreItem>
</file>

<file path=customXml/itemProps9.xml><?xml version="1.0" encoding="utf-8"?>
<ds:datastoreItem xmlns:ds="http://schemas.openxmlformats.org/officeDocument/2006/customXml" ds:itemID="{8193B6C7-0770-40A0-8DED-705456D9BF96}">
  <ds:schemaRefs/>
</ds:datastoreItem>
</file>

<file path=customXml/itemProps10.xml><?xml version="1.0" encoding="utf-8"?>
<ds:datastoreItem xmlns:ds="http://schemas.openxmlformats.org/officeDocument/2006/customXml" ds:itemID="{6D03BBE0-BEC4-4E18-8504-EB0A2E3E424D}">
  <ds:schemaRefs/>
</ds:datastoreItem>
</file>

<file path=customXml/itemProps11.xml><?xml version="1.0" encoding="utf-8"?>
<ds:datastoreItem xmlns:ds="http://schemas.openxmlformats.org/officeDocument/2006/customXml" ds:itemID="{C980BFED-7828-420D-A1AA-547261A97AD1}">
  <ds:schemaRefs/>
</ds:datastoreItem>
</file>

<file path=customXml/itemProps12.xml><?xml version="1.0" encoding="utf-8"?>
<ds:datastoreItem xmlns:ds="http://schemas.openxmlformats.org/officeDocument/2006/customXml" ds:itemID="{8C39155D-AF0A-4010-AFE9-A1F9B4B88141}">
  <ds:schemaRefs/>
</ds:datastoreItem>
</file>

<file path=customXml/itemProps13.xml><?xml version="1.0" encoding="utf-8"?>
<ds:datastoreItem xmlns:ds="http://schemas.openxmlformats.org/officeDocument/2006/customXml" ds:itemID="{147E8E4A-F932-4B0D-9DBF-6705A53AC8A0}">
  <ds:schemaRefs/>
</ds:datastoreItem>
</file>

<file path=customXml/itemProps14.xml><?xml version="1.0" encoding="utf-8"?>
<ds:datastoreItem xmlns:ds="http://schemas.openxmlformats.org/officeDocument/2006/customXml" ds:itemID="{8A47636E-89ED-4BCA-8DB7-78D60BBC1070}">
  <ds:schemaRefs/>
</ds:datastoreItem>
</file>

<file path=customXml/itemProps15.xml><?xml version="1.0" encoding="utf-8"?>
<ds:datastoreItem xmlns:ds="http://schemas.openxmlformats.org/officeDocument/2006/customXml" ds:itemID="{5FDE747D-3279-4CF4-AECF-D1072D7E301A}">
  <ds:schemaRefs/>
</ds:datastoreItem>
</file>

<file path=customXml/itemProps16.xml><?xml version="1.0" encoding="utf-8"?>
<ds:datastoreItem xmlns:ds="http://schemas.openxmlformats.org/officeDocument/2006/customXml" ds:itemID="{80868627-0BC1-44BE-BF23-631FBD8C1BF5}">
  <ds:schemaRefs/>
</ds:datastoreItem>
</file>

<file path=customXml/itemProps17.xml><?xml version="1.0" encoding="utf-8"?>
<ds:datastoreItem xmlns:ds="http://schemas.openxmlformats.org/officeDocument/2006/customXml" ds:itemID="{5CFC0A2A-8BA8-474C-AE1F-B4824BA80093}">
  <ds:schemaRefs/>
</ds:datastoreItem>
</file>

<file path=customXml/itemProps18.xml><?xml version="1.0" encoding="utf-8"?>
<ds:datastoreItem xmlns:ds="http://schemas.openxmlformats.org/officeDocument/2006/customXml" ds:itemID="{38171563-DC16-4BDA-8586-EF2D715CA726}">
  <ds:schemaRefs/>
</ds:datastoreItem>
</file>

<file path=customXml/itemProps19.xml><?xml version="1.0" encoding="utf-8"?>
<ds:datastoreItem xmlns:ds="http://schemas.openxmlformats.org/officeDocument/2006/customXml" ds:itemID="{F351AD95-47E6-426A-8606-3150BEB37990}">
  <ds:schemaRefs/>
</ds:datastoreItem>
</file>

<file path=customXml/itemProps20.xml><?xml version="1.0" encoding="utf-8"?>
<ds:datastoreItem xmlns:ds="http://schemas.openxmlformats.org/officeDocument/2006/customXml" ds:itemID="{10198821-998F-4067-81FB-ADD9E2491B39}">
  <ds:schemaRefs/>
</ds:datastoreItem>
</file>

<file path=customXml/itemProps21.xml><?xml version="1.0" encoding="utf-8"?>
<ds:datastoreItem xmlns:ds="http://schemas.openxmlformats.org/officeDocument/2006/customXml" ds:itemID="{AD80E812-F0F2-4FB9-9B84-594104B094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Datatable</vt:lpstr>
      <vt:lpstr>Pivot Tables</vt:lpstr>
      <vt:lpstr>Dashboard(1)</vt:lpstr>
      <vt:lpstr>Dashboard(2)</vt:lpstr>
      <vt:lpstr>Insight summary</vt:lpstr>
    </vt:vector>
  </TitlesOfParts>
  <Manager/>
  <Company>OLC,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Customer Engagement &amp; Sales Metrics Report</dc:title>
  <dc:subject/>
  <dc:creator>Other Levels</dc:creator>
  <cp:keywords/>
  <dc:description>contact@other-levels.com
www.other-levels.com</dc:description>
  <cp:lastModifiedBy>DHRUV JAIN</cp:lastModifiedBy>
  <dcterms:created xsi:type="dcterms:W3CDTF">2024-12-12T22:21:17Z</dcterms:created>
  <dcterms:modified xsi:type="dcterms:W3CDTF">2026-05-05T17:40:54Z</dcterms:modified>
  <cp:category/>
</cp:coreProperties>
</file>